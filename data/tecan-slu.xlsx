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weaa/Documents/Drilling/data/"/>
    </mc:Choice>
  </mc:AlternateContent>
  <xr:revisionPtr revIDLastSave="0" documentId="13_ncr:1_{3AF9F608-FEDA-574A-8E5E-366BB4A6C273}" xr6:coauthVersionLast="47" xr6:coauthVersionMax="47" xr10:uidLastSave="{00000000-0000-0000-0000-000000000000}"/>
  <bookViews>
    <workbookView xWindow="0" yWindow="500" windowWidth="25600" windowHeight="14460" activeTab="1" xr2:uid="{00000000-000D-0000-FFFF-FFFF00000000}"/>
  </bookViews>
  <sheets>
    <sheet name="Samples" sheetId="2" r:id="rId1"/>
    <sheet name="Pool" sheetId="3" r:id="rId2"/>
    <sheet name="UDI-8 bp indices" sheetId="4" r:id="rId3"/>
    <sheet name="UDI-10 bp indice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4" l="1"/>
  <c r="K27" i="4"/>
  <c r="K28" i="4"/>
  <c r="K29" i="4"/>
  <c r="K30" i="4"/>
  <c r="K31" i="4"/>
  <c r="K32" i="4"/>
  <c r="K33" i="4"/>
  <c r="K34" i="4"/>
  <c r="K35" i="4"/>
  <c r="K25" i="4"/>
  <c r="K22" i="4"/>
  <c r="K23" i="4"/>
  <c r="K24" i="4"/>
  <c r="K21" i="4"/>
  <c r="K17" i="4"/>
  <c r="K18" i="4"/>
  <c r="K19" i="4"/>
  <c r="K20" i="4"/>
  <c r="K16" i="4"/>
  <c r="K15" i="4"/>
  <c r="K9" i="4"/>
  <c r="K10" i="4"/>
  <c r="K11" i="4"/>
  <c r="K12" i="4"/>
  <c r="K13" i="4"/>
  <c r="K14" i="4"/>
  <c r="K8" i="4"/>
  <c r="K4" i="4"/>
  <c r="K5" i="4"/>
  <c r="K6" i="4"/>
  <c r="K7" i="4"/>
  <c r="K3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4" i="4"/>
  <c r="O5" i="4"/>
  <c r="O6" i="4"/>
  <c r="O7" i="4"/>
  <c r="O8" i="4"/>
  <c r="O9" i="4"/>
  <c r="O10" i="4"/>
  <c r="O11" i="4"/>
  <c r="O12" i="4"/>
  <c r="O13" i="4"/>
  <c r="O14" i="4"/>
  <c r="O15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3" i="4"/>
  <c r="O8" i="3"/>
  <c r="O9" i="3" l="1"/>
  <c r="E20" i="3" s="1"/>
  <c r="F20" i="3" s="1"/>
  <c r="F40" i="2"/>
  <c r="E40" i="2"/>
  <c r="G40" i="2"/>
  <c r="F39" i="2"/>
  <c r="E39" i="2"/>
  <c r="G39" i="2" s="1"/>
  <c r="E15" i="3"/>
  <c r="F15" i="3" s="1"/>
  <c r="E24" i="3"/>
  <c r="E29" i="3"/>
  <c r="F29" i="3" s="1"/>
  <c r="E31" i="3"/>
  <c r="F31" i="3" s="1"/>
  <c r="O10" i="3"/>
  <c r="F16" i="2"/>
  <c r="E16" i="2"/>
  <c r="E27" i="2"/>
  <c r="E28" i="2"/>
  <c r="E29" i="2"/>
  <c r="E30" i="2"/>
  <c r="E31" i="2"/>
  <c r="E32" i="2"/>
  <c r="E33" i="2"/>
  <c r="E26" i="2"/>
  <c r="E7" i="3" l="1"/>
  <c r="F7" i="3" s="1"/>
  <c r="E17" i="3"/>
  <c r="F17" i="3" s="1"/>
  <c r="E28" i="3"/>
  <c r="F28" i="3" s="1"/>
  <c r="E19" i="3"/>
  <c r="F19" i="3" s="1"/>
  <c r="E14" i="3"/>
  <c r="F14" i="3" s="1"/>
  <c r="E32" i="3"/>
  <c r="F32" i="3" s="1"/>
  <c r="E27" i="3"/>
  <c r="F27" i="3" s="1"/>
  <c r="E22" i="3"/>
  <c r="F22" i="3" s="1"/>
  <c r="E18" i="3"/>
  <c r="F18" i="3" s="1"/>
  <c r="E13" i="3"/>
  <c r="F13" i="3" s="1"/>
  <c r="E25" i="3"/>
  <c r="F25" i="3" s="1"/>
  <c r="E21" i="3"/>
  <c r="F21" i="3" s="1"/>
  <c r="E8" i="3"/>
  <c r="F8" i="3" s="1"/>
  <c r="E2" i="3"/>
  <c r="F2" i="3" s="1"/>
  <c r="E6" i="3"/>
  <c r="F6" i="3" s="1"/>
  <c r="E33" i="3"/>
  <c r="F33" i="3" s="1"/>
  <c r="E3" i="3"/>
  <c r="F3" i="3" s="1"/>
  <c r="E34" i="3"/>
  <c r="F34" i="3" s="1"/>
  <c r="E4" i="3"/>
  <c r="F4" i="3" s="1"/>
  <c r="E5" i="3"/>
  <c r="F5" i="3" s="1"/>
  <c r="E30" i="3"/>
  <c r="F30" i="3" s="1"/>
  <c r="E26" i="3"/>
  <c r="F26" i="3" s="1"/>
  <c r="E23" i="3"/>
  <c r="F23" i="3" s="1"/>
  <c r="E16" i="3"/>
  <c r="F16" i="3" s="1"/>
  <c r="E11" i="3"/>
  <c r="F11" i="3" s="1"/>
  <c r="E10" i="3"/>
  <c r="F10" i="3" s="1"/>
  <c r="E9" i="3"/>
  <c r="F9" i="3" s="1"/>
  <c r="E12" i="3"/>
  <c r="F12" i="3" s="1"/>
  <c r="G17" i="2"/>
  <c r="G16" i="2"/>
  <c r="E15" i="2"/>
  <c r="E14" i="2"/>
  <c r="E13" i="2"/>
  <c r="E12" i="2"/>
  <c r="E10" i="2"/>
  <c r="G10" i="2"/>
  <c r="G15" i="2"/>
  <c r="E20" i="2"/>
  <c r="F20" i="2" s="1"/>
  <c r="E19" i="2"/>
  <c r="G19" i="2" s="1"/>
  <c r="O11" i="3" l="1"/>
  <c r="O12" i="3" s="1"/>
  <c r="O15" i="3" s="1"/>
  <c r="O16" i="3" s="1"/>
  <c r="G20" i="2"/>
  <c r="F19" i="2"/>
  <c r="G12" i="2" l="1"/>
  <c r="G13" i="2"/>
  <c r="G14" i="2"/>
  <c r="E41" i="2"/>
  <c r="G41" i="2" s="1"/>
  <c r="E35" i="2"/>
  <c r="E36" i="2"/>
  <c r="G36" i="2" s="1"/>
  <c r="E37" i="2"/>
  <c r="E38" i="2"/>
  <c r="G38" i="2" s="1"/>
  <c r="E34" i="2"/>
  <c r="E21" i="2"/>
  <c r="G21" i="2" s="1"/>
  <c r="E22" i="2"/>
  <c r="G22" i="2" s="1"/>
  <c r="E23" i="2"/>
  <c r="G23" i="2" s="1"/>
  <c r="E24" i="2"/>
  <c r="G24" i="2" s="1"/>
  <c r="E25" i="2"/>
  <c r="G25" i="2" s="1"/>
  <c r="E18" i="2"/>
  <c r="G18" i="2" s="1"/>
  <c r="G27" i="2"/>
  <c r="G28" i="2"/>
  <c r="G29" i="2"/>
  <c r="G30" i="2"/>
  <c r="G31" i="2"/>
  <c r="G32" i="2"/>
  <c r="G33" i="2"/>
  <c r="G26" i="2"/>
  <c r="G11" i="2"/>
  <c r="G5" i="2"/>
  <c r="G6" i="2"/>
  <c r="G7" i="2"/>
  <c r="G8" i="2"/>
  <c r="G9" i="2"/>
  <c r="F5" i="2"/>
  <c r="F6" i="2"/>
  <c r="F7" i="2"/>
  <c r="F8" i="2"/>
  <c r="F9" i="2"/>
  <c r="E2" i="2"/>
  <c r="G2" i="2" s="1"/>
  <c r="E3" i="2"/>
  <c r="G3" i="2" s="1"/>
  <c r="E4" i="2"/>
  <c r="G4" i="2" s="1"/>
  <c r="G35" i="2"/>
  <c r="G37" i="2"/>
  <c r="G34" i="2"/>
  <c r="F4" i="2" l="1"/>
  <c r="F32" i="2"/>
  <c r="F28" i="2"/>
  <c r="F24" i="2"/>
  <c r="F21" i="2"/>
  <c r="F2" i="2"/>
  <c r="F3" i="2"/>
  <c r="F31" i="2"/>
  <c r="F27" i="2"/>
  <c r="F23" i="2"/>
  <c r="F26" i="2"/>
  <c r="F30" i="2"/>
  <c r="F18" i="2"/>
  <c r="F22" i="2"/>
  <c r="F33" i="2"/>
  <c r="F29" i="2"/>
  <c r="F25" i="2"/>
</calcChain>
</file>

<file path=xl/sharedStrings.xml><?xml version="1.0" encoding="utf-8"?>
<sst xmlns="http://schemas.openxmlformats.org/spreadsheetml/2006/main" count="1374" uniqueCount="945">
  <si>
    <t>index1</t>
  </si>
  <si>
    <t>index2 REV (NextSeq)</t>
  </si>
  <si>
    <t>CGCTACAT</t>
  </si>
  <si>
    <t>AACCTACG</t>
  </si>
  <si>
    <t>CGTAGGTT</t>
  </si>
  <si>
    <t>AATCCAGC</t>
  </si>
  <si>
    <t>GCATCCTA</t>
  </si>
  <si>
    <t>TAGGATGC</t>
  </si>
  <si>
    <t>CGTCTAAC</t>
  </si>
  <si>
    <t>CAACGAGT</t>
  </si>
  <si>
    <t>ACTCGTTG</t>
  </si>
  <si>
    <t>AACTCGGA</t>
  </si>
  <si>
    <t>TGCAAGAC</t>
  </si>
  <si>
    <t>GTCTTGCA</t>
  </si>
  <si>
    <t>GTCGAGAA</t>
  </si>
  <si>
    <t>CTTACAGC</t>
  </si>
  <si>
    <t>GCTGTAAG</t>
  </si>
  <si>
    <t>ACAACAGC</t>
  </si>
  <si>
    <t>ACCGACAA</t>
  </si>
  <si>
    <t>TTGTCGGT</t>
  </si>
  <si>
    <t>ATGACAGG</t>
  </si>
  <si>
    <t>ACATGCCA</t>
  </si>
  <si>
    <t>TGGCATGT</t>
  </si>
  <si>
    <t>GCACACAA</t>
  </si>
  <si>
    <t>GAGCAATC</t>
  </si>
  <si>
    <t>GATTGCTC</t>
  </si>
  <si>
    <t>CTCCTAGT</t>
  </si>
  <si>
    <t>CCTCATCT</t>
  </si>
  <si>
    <t>AGATGAGG</t>
  </si>
  <si>
    <t>TCTTCGAC</t>
  </si>
  <si>
    <t>TACTGCTC</t>
  </si>
  <si>
    <t>GAGCAGTA</t>
  </si>
  <si>
    <t>GACTACGA</t>
  </si>
  <si>
    <t>TTACCGAC</t>
  </si>
  <si>
    <t>GTCGGTAA</t>
  </si>
  <si>
    <t>ACTCCTAC</t>
  </si>
  <si>
    <t>CCGTAACT</t>
  </si>
  <si>
    <t>AGTTACGG</t>
  </si>
  <si>
    <t>CTTCCTTC</t>
  </si>
  <si>
    <t>TTCCAGGT</t>
  </si>
  <si>
    <t>ACCTGGAA</t>
  </si>
  <si>
    <t>ACCATCCT</t>
  </si>
  <si>
    <t>CCATGAAC</t>
  </si>
  <si>
    <t>GTTCATGG</t>
  </si>
  <si>
    <t>CGTCCATT</t>
  </si>
  <si>
    <t>TTCCTCCT</t>
  </si>
  <si>
    <t>AGGAGGAA</t>
  </si>
  <si>
    <t>AACTTGCC</t>
  </si>
  <si>
    <t>CCAACTTC</t>
  </si>
  <si>
    <t>GAAGTTGG</t>
  </si>
  <si>
    <t>GTACACCT</t>
  </si>
  <si>
    <t>GAGACCAA</t>
  </si>
  <si>
    <t>TTGGTCTC</t>
  </si>
  <si>
    <t>ACGAGAAC</t>
  </si>
  <si>
    <t>ACAGTTCG</t>
  </si>
  <si>
    <t>CGAACTGT</t>
  </si>
  <si>
    <t>CGACCTAA</t>
  </si>
  <si>
    <t>CTAACCTG</t>
  </si>
  <si>
    <t>CAGGTTAG</t>
  </si>
  <si>
    <t>TACATCGG</t>
  </si>
  <si>
    <t>TCCGATCA</t>
  </si>
  <si>
    <t>TGATCGGA</t>
  </si>
  <si>
    <t>ATCGTCTC</t>
  </si>
  <si>
    <t>AGAAGGAC</t>
  </si>
  <si>
    <t>GTCCTTCT</t>
  </si>
  <si>
    <t>CCAACACT</t>
  </si>
  <si>
    <t>GACGAACT</t>
  </si>
  <si>
    <t>AGTTCGTC</t>
  </si>
  <si>
    <t>TCTAGGAG</t>
  </si>
  <si>
    <t>TTGCAACG</t>
  </si>
  <si>
    <t>CGTTGCAA</t>
  </si>
  <si>
    <t>CTCGAACA</t>
  </si>
  <si>
    <t>CCAACGAA</t>
  </si>
  <si>
    <t>TTCGTTGG</t>
  </si>
  <si>
    <t>ACGGACTT</t>
  </si>
  <si>
    <t>ATCGGAGA</t>
  </si>
  <si>
    <t>TCTCCGAT</t>
  </si>
  <si>
    <t>CTAAGACC</t>
  </si>
  <si>
    <t>CCTAACAG</t>
  </si>
  <si>
    <t>CTGTTAGG</t>
  </si>
  <si>
    <t>AACCGAAC</t>
  </si>
  <si>
    <t>CATACTCG</t>
  </si>
  <si>
    <t>CGAGTATG</t>
  </si>
  <si>
    <t>CCTTAGGT</t>
  </si>
  <si>
    <t>TGCCTCAA</t>
  </si>
  <si>
    <t>TTGAGGCA</t>
  </si>
  <si>
    <t>CCTATACC</t>
  </si>
  <si>
    <t>TACAGAGC</t>
  </si>
  <si>
    <t>GCTCTGTA</t>
  </si>
  <si>
    <t>AACGCCTT</t>
  </si>
  <si>
    <t>CGAGAGAA</t>
  </si>
  <si>
    <t>TTCTCTCG</t>
  </si>
  <si>
    <t>TCCATTGC</t>
  </si>
  <si>
    <t>AGGTAGGA</t>
  </si>
  <si>
    <t>TCCTACCT</t>
  </si>
  <si>
    <t>CAAGCCAA</t>
  </si>
  <si>
    <t>GAACGAAG</t>
  </si>
  <si>
    <t>CTTCGTTC</t>
  </si>
  <si>
    <t>AGGTTCCT</t>
  </si>
  <si>
    <t>TCGAACCT</t>
  </si>
  <si>
    <t>AGGTTCGA</t>
  </si>
  <si>
    <t>GAACCTTC</t>
  </si>
  <si>
    <t>CAAGGTAC</t>
  </si>
  <si>
    <t>GTACCTTG</t>
  </si>
  <si>
    <t>AAGTCCTC</t>
  </si>
  <si>
    <t>AGCTACCA</t>
  </si>
  <si>
    <t>TGGTAGCT</t>
  </si>
  <si>
    <t>CCACAACA</t>
  </si>
  <si>
    <t>CATCCAAG</t>
  </si>
  <si>
    <t>CTTGGATG</t>
  </si>
  <si>
    <t>ATAACGCC</t>
  </si>
  <si>
    <t>CTCACCAA</t>
  </si>
  <si>
    <t>TTGGTGAG</t>
  </si>
  <si>
    <t>CCGGAATA</t>
  </si>
  <si>
    <t>TCAGTAGG</t>
  </si>
  <si>
    <t>CCTACTGA</t>
  </si>
  <si>
    <t>CCAAGTAG</t>
  </si>
  <si>
    <t>GAACGTGA</t>
  </si>
  <si>
    <t>TCACGTTC</t>
  </si>
  <si>
    <t>AAGGACCA</t>
  </si>
  <si>
    <t>AGGAACAC</t>
  </si>
  <si>
    <t>GTGTTCCT</t>
  </si>
  <si>
    <t>ACGCTTCT</t>
  </si>
  <si>
    <t>CCTAAGTC</t>
  </si>
  <si>
    <t>GACTTAGG</t>
  </si>
  <si>
    <t>CTATCCAC</t>
  </si>
  <si>
    <t>AACGCACA</t>
  </si>
  <si>
    <t>TGTGCGTT</t>
  </si>
  <si>
    <t>TGACAACC</t>
  </si>
  <si>
    <t>GTCAACAG</t>
  </si>
  <si>
    <t>CTGTTGAC</t>
  </si>
  <si>
    <t>CAGTGCTT</t>
  </si>
  <si>
    <t>ACACCTCA</t>
  </si>
  <si>
    <t>TGAGGTGT</t>
  </si>
  <si>
    <t>TCACTCGA</t>
  </si>
  <si>
    <t>TATGGCAC</t>
  </si>
  <si>
    <t>GTGCCATA</t>
  </si>
  <si>
    <t>CTGACTAC</t>
  </si>
  <si>
    <t>CGCAATGT</t>
  </si>
  <si>
    <t>ACATTGCG</t>
  </si>
  <si>
    <t>GTGATCCA</t>
  </si>
  <si>
    <t>ACTCAACG</t>
  </si>
  <si>
    <t>CGTTGAGT</t>
  </si>
  <si>
    <t>ACAGCAAG</t>
  </si>
  <si>
    <t>GTCTGCAA</t>
  </si>
  <si>
    <t>TTGCAGAC</t>
  </si>
  <si>
    <t>index2 (FW)</t>
  </si>
  <si>
    <t>1_UDI_A01</t>
  </si>
  <si>
    <t>2_UDI_B01</t>
  </si>
  <si>
    <t>3_UDI_C01</t>
  </si>
  <si>
    <t>4_UDI_D01</t>
  </si>
  <si>
    <t>5_UDI_E01</t>
  </si>
  <si>
    <t>6_UDI_F01</t>
  </si>
  <si>
    <t>7_UDI_G01</t>
  </si>
  <si>
    <t>8_UDI_H01</t>
  </si>
  <si>
    <t>9_UDI_A02</t>
  </si>
  <si>
    <t>10_UDI_B02</t>
  </si>
  <si>
    <t>11_UDI_C02</t>
  </si>
  <si>
    <t>12_UDI_D02</t>
  </si>
  <si>
    <t>13_UDI_E02</t>
  </si>
  <si>
    <t>14_UDI_F02</t>
  </si>
  <si>
    <t>15_UDI_G02</t>
  </si>
  <si>
    <t>16_UDI_H02</t>
  </si>
  <si>
    <t>17_UDI_A03</t>
  </si>
  <si>
    <t>18_UDI_B03</t>
  </si>
  <si>
    <t>19_UDI_C03</t>
  </si>
  <si>
    <t>20_UDI_D03</t>
  </si>
  <si>
    <t>21_UDI_E03</t>
  </si>
  <si>
    <t>22_UDI_F03</t>
  </si>
  <si>
    <t>23_UDI_G03</t>
  </si>
  <si>
    <t>24_UDI_H03</t>
  </si>
  <si>
    <t>25_UDI_A04</t>
  </si>
  <si>
    <t>26_UDI_B04</t>
  </si>
  <si>
    <t>27_UDI_C04</t>
  </si>
  <si>
    <t>28_UDI_D04</t>
  </si>
  <si>
    <t>29_UDI_E04</t>
  </si>
  <si>
    <t>30_UDI_F04</t>
  </si>
  <si>
    <t>31_UDI_G04</t>
  </si>
  <si>
    <t>32_UDI_H04</t>
  </si>
  <si>
    <t>33_UDI_A05</t>
  </si>
  <si>
    <t>34_UDI_B05</t>
  </si>
  <si>
    <t>35_UDI_C05</t>
  </si>
  <si>
    <t>36_UDI_D05</t>
  </si>
  <si>
    <t>37_UDI_E05</t>
  </si>
  <si>
    <t>38_UDI_F05</t>
  </si>
  <si>
    <t>39_UDI_G05</t>
  </si>
  <si>
    <t>40_UDI_H05</t>
  </si>
  <si>
    <t>41_UDI_A06</t>
  </si>
  <si>
    <t>42_UDI_B06</t>
  </si>
  <si>
    <t>43_UDI_C06</t>
  </si>
  <si>
    <t>44_UDI_D06</t>
  </si>
  <si>
    <t>45_UDI_E06</t>
  </si>
  <si>
    <t>46_UDI_F06</t>
  </si>
  <si>
    <t>47_UDI_G06</t>
  </si>
  <si>
    <t>48_UDI_H06</t>
  </si>
  <si>
    <t>Tecan ID</t>
  </si>
  <si>
    <t>_A1</t>
  </si>
  <si>
    <t>_B2</t>
  </si>
  <si>
    <t>_A2</t>
  </si>
  <si>
    <t>_A3</t>
  </si>
  <si>
    <t>_A4</t>
  </si>
  <si>
    <t>_B1</t>
  </si>
  <si>
    <t>Magic ref.</t>
  </si>
  <si>
    <t>All</t>
  </si>
  <si>
    <t>1_UDI_A01_A1</t>
  </si>
  <si>
    <t>2_UDI_B01_A1</t>
  </si>
  <si>
    <t>3_UDI_C01_A1</t>
  </si>
  <si>
    <t>4_UDI_D01_A1</t>
  </si>
  <si>
    <t>5_UDI_E01_A1</t>
  </si>
  <si>
    <t>6_UDI_F01_A1</t>
  </si>
  <si>
    <t>7_UDI_G01_A1</t>
  </si>
  <si>
    <t>8_UDI_H01_A1</t>
  </si>
  <si>
    <t>9_UDI_A02_A2</t>
  </si>
  <si>
    <t>10_UDI_B02_A2</t>
  </si>
  <si>
    <t>11_UDI_C02_A2</t>
  </si>
  <si>
    <t>12_UDI_D02_A2</t>
  </si>
  <si>
    <t>13_UDI_E02_A2</t>
  </si>
  <si>
    <t>14_UDI_F02_A2</t>
  </si>
  <si>
    <t>15_UDI_G02_A2</t>
  </si>
  <si>
    <t>16_UDI_H02_A2</t>
  </si>
  <si>
    <t>17_UDI_A03_A3</t>
  </si>
  <si>
    <t>18_UDI_B03_A3</t>
  </si>
  <si>
    <t>19_UDI_C03_A3</t>
  </si>
  <si>
    <t>20_UDI_D03_A3</t>
  </si>
  <si>
    <t>21_UDI_E03_A3</t>
  </si>
  <si>
    <t>22_UDI_F03_A3</t>
  </si>
  <si>
    <t>23_UDI_G03_A3</t>
  </si>
  <si>
    <t>24_UDI_H03_A3</t>
  </si>
  <si>
    <t>25_UDI_A04_A4</t>
  </si>
  <si>
    <t>26_UDI_B04_A4</t>
  </si>
  <si>
    <t>27_UDI_C04_A4</t>
  </si>
  <si>
    <t>28_UDI_D04_A4</t>
  </si>
  <si>
    <t>29_UDI_E04_A4</t>
  </si>
  <si>
    <t>30_UDI_F04_A4</t>
  </si>
  <si>
    <t>31_UDI_G04_A4</t>
  </si>
  <si>
    <t>32_UDI_H04_A4</t>
  </si>
  <si>
    <t>33_UDI_A05_B1</t>
  </si>
  <si>
    <t>34_UDI_B05_B1</t>
  </si>
  <si>
    <t>35_UDI_C05_B1</t>
  </si>
  <si>
    <t>36_UDI_D05_B1</t>
  </si>
  <si>
    <t>37_UDI_E05_B1</t>
  </si>
  <si>
    <t>38_UDI_F05_B1</t>
  </si>
  <si>
    <t>39_UDI_G05_B1</t>
  </si>
  <si>
    <t>40_UDI_H05_B1</t>
  </si>
  <si>
    <t>41_UDI_A06_B2</t>
  </si>
  <si>
    <t>42_UDI_B06_B2</t>
  </si>
  <si>
    <t>43_UDI_C06_B2</t>
  </si>
  <si>
    <t>44_UDI_D06_B2</t>
  </si>
  <si>
    <t>45_UDI_E06_B2</t>
  </si>
  <si>
    <t>46_UDI_F06_B2</t>
  </si>
  <si>
    <t>47_UDI_G06_B2</t>
  </si>
  <si>
    <t>48_UDI_H06_B2</t>
  </si>
  <si>
    <t>49_UDI_A07_B3</t>
  </si>
  <si>
    <t>50_UDI_B07_B3</t>
  </si>
  <si>
    <t>51_UDI_C07_B3</t>
  </si>
  <si>
    <t>52_UDI_D07_B3</t>
  </si>
  <si>
    <t>53_UDI_E07_B3</t>
  </si>
  <si>
    <t>54_UDI_F07_B3</t>
  </si>
  <si>
    <t>55_UDI_G07_B3</t>
  </si>
  <si>
    <t>56_UDI_H07_B3</t>
  </si>
  <si>
    <t>57_UDI_A08_B4</t>
  </si>
  <si>
    <t>58_UDI_B08_B4</t>
  </si>
  <si>
    <t>59_UDI_C08_B4</t>
  </si>
  <si>
    <t>60_UDI_D08_B4</t>
  </si>
  <si>
    <t>61_UDI_E08_B4</t>
  </si>
  <si>
    <t>62_UDI_F08_B4</t>
  </si>
  <si>
    <t>63_UDI_G08_B4</t>
  </si>
  <si>
    <t>64_UDI_H08_B4</t>
  </si>
  <si>
    <t>65_UDI_A09_C1</t>
  </si>
  <si>
    <t>66_UDI_B09_C1</t>
  </si>
  <si>
    <t>67_UDI_C09_C1</t>
  </si>
  <si>
    <t>68_UDI_D09_C1</t>
  </si>
  <si>
    <t>69_UDI_E09_C1</t>
  </si>
  <si>
    <t>70_UDI_F09_C1</t>
  </si>
  <si>
    <t>71_UDI_G09_C1</t>
  </si>
  <si>
    <t>73_UDI_A10_C2</t>
  </si>
  <si>
    <t>74_UDI_B10_C2</t>
  </si>
  <si>
    <t>75_UDI_C10_C2</t>
  </si>
  <si>
    <t>76_UDI_D10_C2</t>
  </si>
  <si>
    <t>77_UDI_E10_C2</t>
  </si>
  <si>
    <t>78_UDI_F10_C2</t>
  </si>
  <si>
    <t>79_UDI_G10_C2</t>
  </si>
  <si>
    <t>80_UDI_H10_C2</t>
  </si>
  <si>
    <t>81_UDI_A11_C3</t>
  </si>
  <si>
    <t>82_UDI_B11_C3</t>
  </si>
  <si>
    <t>83_UDI_C11_C3</t>
  </si>
  <si>
    <t>84_UDI_D11_C3</t>
  </si>
  <si>
    <t>85_UDI_E11_C3</t>
  </si>
  <si>
    <t>86_UDI_F11_C3</t>
  </si>
  <si>
    <t>87_UDI_G11_C3</t>
  </si>
  <si>
    <t>88_UDI_H11_C3</t>
  </si>
  <si>
    <t>89_UDI_A12_C4</t>
  </si>
  <si>
    <t>90_UDI_B12_C4</t>
  </si>
  <si>
    <t>91_UDI_C12_C4</t>
  </si>
  <si>
    <t>92_UDI_D12_C4</t>
  </si>
  <si>
    <t>93_UDI_E12_C4</t>
  </si>
  <si>
    <t>94_UDI_F12_C4</t>
  </si>
  <si>
    <t>95_UDI_G12_C4</t>
  </si>
  <si>
    <t>96_UDI_H12_C4</t>
  </si>
  <si>
    <t>72_UDI_H09_C1</t>
  </si>
  <si>
    <t>CGTAGGTTGT</t>
  </si>
  <si>
    <t>TAGGATGCGT</t>
  </si>
  <si>
    <t>ACTCGTTGGT</t>
  </si>
  <si>
    <t>GTCTTGCAGT</t>
  </si>
  <si>
    <t>GCTGTAAGGT</t>
  </si>
  <si>
    <t>TTGTCGGTGT</t>
  </si>
  <si>
    <t>TGGCATGTGT</t>
  </si>
  <si>
    <t>GATTGCTCGT</t>
  </si>
  <si>
    <t>AGATGAGGGT</t>
  </si>
  <si>
    <t>GAGCAGTAGT</t>
  </si>
  <si>
    <t>GTCGGTAAGT</t>
  </si>
  <si>
    <t>AGTTACGGGT</t>
  </si>
  <si>
    <t>ACCTGGAAGT</t>
  </si>
  <si>
    <t>GTTCATGGGT</t>
  </si>
  <si>
    <t>AGGAGGAAGT</t>
  </si>
  <si>
    <t>GAAGTTGGGT</t>
  </si>
  <si>
    <t>TTGGTCTCGT</t>
  </si>
  <si>
    <t>CGAACTGTGT</t>
  </si>
  <si>
    <t>CAGGTTAGGT</t>
  </si>
  <si>
    <t>TGATCGGAGT</t>
  </si>
  <si>
    <t>GTCCTTCTGT</t>
  </si>
  <si>
    <t>AGTTCGTCGT</t>
  </si>
  <si>
    <t>CGTTGCAAGT</t>
  </si>
  <si>
    <t>TTCGTTGGGT</t>
  </si>
  <si>
    <t>TCTCCGATGT</t>
  </si>
  <si>
    <t>CTGTTAGGGT</t>
  </si>
  <si>
    <t>CGAGTATGGT</t>
  </si>
  <si>
    <t>TTGAGGCAGT</t>
  </si>
  <si>
    <t>GCTCTGTAGT</t>
  </si>
  <si>
    <t>TTCTCTCGGT</t>
  </si>
  <si>
    <t>TCCTACCTGT</t>
  </si>
  <si>
    <t>CTTCGTTCGT</t>
  </si>
  <si>
    <t>AGGTTCGAGT</t>
  </si>
  <si>
    <t>GTACCTTGGT</t>
  </si>
  <si>
    <t>TGGTAGCTGT</t>
  </si>
  <si>
    <t>CTTGGATGGT</t>
  </si>
  <si>
    <t>TTGGTGAGGT</t>
  </si>
  <si>
    <t>CCTACTGAGT</t>
  </si>
  <si>
    <t>TCACGTTCGT</t>
  </si>
  <si>
    <t>GTGTTCCTGT</t>
  </si>
  <si>
    <t>GACTTAGGGT</t>
  </si>
  <si>
    <t>TGTGCGTTGT</t>
  </si>
  <si>
    <t>CTGTTGACGT</t>
  </si>
  <si>
    <t>TGAGGTGTGT</t>
  </si>
  <si>
    <t>GTGCCATAGT</t>
  </si>
  <si>
    <t>ACATTGCGGT</t>
  </si>
  <si>
    <t>CGTTGAGTGT</t>
  </si>
  <si>
    <t>TTGCAGACGT</t>
  </si>
  <si>
    <t>GAATCGTGGT</t>
  </si>
  <si>
    <t>AGGCTTCTGT</t>
  </si>
  <si>
    <t>CTGGAGTAGT</t>
  </si>
  <si>
    <t>TCTTGACGGT</t>
  </si>
  <si>
    <t>TGGTACAGGT</t>
  </si>
  <si>
    <t>CTAGGTGAGT</t>
  </si>
  <si>
    <t>GTGGTGTTGT</t>
  </si>
  <si>
    <t>TGAAGACGGT</t>
  </si>
  <si>
    <t>GCTACGTTGT</t>
  </si>
  <si>
    <t>ATGGTTGCGT</t>
  </si>
  <si>
    <t>AGTGGATCGT</t>
  </si>
  <si>
    <t>GTCTAGGTGT</t>
  </si>
  <si>
    <t>ACTGCTAGGT</t>
  </si>
  <si>
    <t>GTCATCGAGT</t>
  </si>
  <si>
    <t>TGCACCAAGT</t>
  </si>
  <si>
    <t>GATGCACTGT</t>
  </si>
  <si>
    <t>CATAACGGGT</t>
  </si>
  <si>
    <t>AGTCGACAGT</t>
  </si>
  <si>
    <t>CGATAGAGGT</t>
  </si>
  <si>
    <t>CAAGCAGTGT</t>
  </si>
  <si>
    <t>ATAAGGCGGT</t>
  </si>
  <si>
    <t>GGACCTATGT</t>
  </si>
  <si>
    <t>CGTGATCAGT</t>
  </si>
  <si>
    <t>TTGATCCGGT</t>
  </si>
  <si>
    <t>CGCTAGTAGT</t>
  </si>
  <si>
    <t>ATGGTCCAGT</t>
  </si>
  <si>
    <t>ATATGCGCGT</t>
  </si>
  <si>
    <t>GTTGCGATGT</t>
  </si>
  <si>
    <t>AAGGCTGAGT</t>
  </si>
  <si>
    <t>CGTCAATGGT</t>
  </si>
  <si>
    <t>ATGCCTGTGT</t>
  </si>
  <si>
    <t>ACAGACCTGT</t>
  </si>
  <si>
    <t>AGGATCTGGT</t>
  </si>
  <si>
    <t>TTCAGGAGGT</t>
  </si>
  <si>
    <t>CATCCTCTGT</t>
  </si>
  <si>
    <t>TCATGGTGGT</t>
  </si>
  <si>
    <t>GATTACCGGT</t>
  </si>
  <si>
    <t>ACACACTCGT</t>
  </si>
  <si>
    <t>CCTCAGTTGT</t>
  </si>
  <si>
    <t>CTGACACAGT</t>
  </si>
  <si>
    <t>GTGTGACAGT</t>
  </si>
  <si>
    <t>GACGATCTGT</t>
  </si>
  <si>
    <t>TCGCATTGGT</t>
  </si>
  <si>
    <t>AGCAAGCAGT</t>
  </si>
  <si>
    <t>CGACCATTGT</t>
  </si>
  <si>
    <t>GCACAACTGT</t>
  </si>
  <si>
    <t>CTCGATACGT</t>
  </si>
  <si>
    <t>GATCGTACGT</t>
  </si>
  <si>
    <t>CGCTACATAT</t>
  </si>
  <si>
    <t>AATCCAGCAT</t>
  </si>
  <si>
    <t>CGTCTAACAT</t>
  </si>
  <si>
    <t>AACTCGGAAT</t>
  </si>
  <si>
    <t>GTCGAGAAAT</t>
  </si>
  <si>
    <t>ACAACAGCAT</t>
  </si>
  <si>
    <t>ATGACAGGAT</t>
  </si>
  <si>
    <t>GCACACAAAT</t>
  </si>
  <si>
    <t>CTCCTAGTAT</t>
  </si>
  <si>
    <t>TCTTCGACAT</t>
  </si>
  <si>
    <t>GACTACGAAT</t>
  </si>
  <si>
    <t>ACTCCTACAT</t>
  </si>
  <si>
    <t>CTTCCTTCAT</t>
  </si>
  <si>
    <t>ACCATCCTAT</t>
  </si>
  <si>
    <t>CGTCCATTAT</t>
  </si>
  <si>
    <t>AACTTGCCAT</t>
  </si>
  <si>
    <t>GTACACCTAT</t>
  </si>
  <si>
    <t>ACGAGAACAT</t>
  </si>
  <si>
    <t>CGACCTAAAT</t>
  </si>
  <si>
    <t>TACATCGGAT</t>
  </si>
  <si>
    <t>ATCGTCTCAT</t>
  </si>
  <si>
    <t>CCAACACTAT</t>
  </si>
  <si>
    <t>TCTAGGAGAT</t>
  </si>
  <si>
    <t>CTCGAACAAT</t>
  </si>
  <si>
    <t>ACGGACTTAT</t>
  </si>
  <si>
    <t>CTAAGACCAT</t>
  </si>
  <si>
    <t>AACCGAACAT</t>
  </si>
  <si>
    <t>CCTTAGGTAT</t>
  </si>
  <si>
    <t>CCTATACCAT</t>
  </si>
  <si>
    <t>AACGCCTTAT</t>
  </si>
  <si>
    <t>TCCATTGCAT</t>
  </si>
  <si>
    <t>CAAGCCAAAT</t>
  </si>
  <si>
    <t>AGGTTCCTAT</t>
  </si>
  <si>
    <t>GAACCTTCAT</t>
  </si>
  <si>
    <t>AAGTCCTCAT</t>
  </si>
  <si>
    <t>CCACAACAAT</t>
  </si>
  <si>
    <t>ATAACGCCAT</t>
  </si>
  <si>
    <t>CCGGAATAAT</t>
  </si>
  <si>
    <t>CCAAGTAGAT</t>
  </si>
  <si>
    <t>AAGGACCAAT</t>
  </si>
  <si>
    <t>ACGCTTCTAT</t>
  </si>
  <si>
    <t>CTATCCACAT</t>
  </si>
  <si>
    <t>TGACAACCAT</t>
  </si>
  <si>
    <t>CAGTGCTTAT</t>
  </si>
  <si>
    <t>TCACTCGAAT</t>
  </si>
  <si>
    <t>CTGACTACAT</t>
  </si>
  <si>
    <t>GTGATCCAAT</t>
  </si>
  <si>
    <t>ACAGCAAGAT</t>
  </si>
  <si>
    <t>TGCTGTGAAT</t>
  </si>
  <si>
    <t>CAACACAGAT</t>
  </si>
  <si>
    <t>CCACATTGAT</t>
  </si>
  <si>
    <t>TAGTGCCAAT</t>
  </si>
  <si>
    <t>TCGTGCATAT</t>
  </si>
  <si>
    <t>CTACATCCAT</t>
  </si>
  <si>
    <t>CATACGGAAT</t>
  </si>
  <si>
    <t>TGCGTAACAT</t>
  </si>
  <si>
    <t>CAGGTTCAAT</t>
  </si>
  <si>
    <t>AGAACCAGAT</t>
  </si>
  <si>
    <t>GAATGGCAAT</t>
  </si>
  <si>
    <t>AGGCAATGAT</t>
  </si>
  <si>
    <t>TAGGAGCTAT</t>
  </si>
  <si>
    <t>CGAACAACAT</t>
  </si>
  <si>
    <t>CATTCGTCAT</t>
  </si>
  <si>
    <t>AGCCAACTAT</t>
  </si>
  <si>
    <t>GCCTTAACAT</t>
  </si>
  <si>
    <t>ATTCCGCTAT</t>
  </si>
  <si>
    <t>ATCGTGGTAT</t>
  </si>
  <si>
    <t>GCTACAACAT</t>
  </si>
  <si>
    <t>TCTACGCAAT</t>
  </si>
  <si>
    <t>CTCCAATCAT</t>
  </si>
  <si>
    <t>ACTCTCCAAT</t>
  </si>
  <si>
    <t>GTCTCATCAT</t>
  </si>
  <si>
    <t>GCCAGAATAT</t>
  </si>
  <si>
    <t>AATGACGCAT</t>
  </si>
  <si>
    <t>GTACCACAAT</t>
  </si>
  <si>
    <t>ACGATCAGAT</t>
  </si>
  <si>
    <t>TAACGTCGAT</t>
  </si>
  <si>
    <t>CGCAACTAAT</t>
  </si>
  <si>
    <t>AACACTGGAT</t>
  </si>
  <si>
    <t>CCTGTCAAAT</t>
  </si>
  <si>
    <t>TCCTGGTAAT</t>
  </si>
  <si>
    <t>CATCAACCAT</t>
  </si>
  <si>
    <t>AGCAGACAAT</t>
  </si>
  <si>
    <t>GAAGACTGAT</t>
  </si>
  <si>
    <t>TCTAGTCCAT</t>
  </si>
  <si>
    <t>CTCGACTTAT</t>
  </si>
  <si>
    <t>CTAGCTCAAT</t>
  </si>
  <si>
    <t>TCCAACTGAT</t>
  </si>
  <si>
    <t>GACATCTCAT</t>
  </si>
  <si>
    <t>ACTGCACTAT</t>
  </si>
  <si>
    <t>GTTCCATGAT</t>
  </si>
  <si>
    <t>ACCAAGCAAT</t>
  </si>
  <si>
    <t>CTCTCAGAAT</t>
  </si>
  <si>
    <t>ACTCTGAGAT</t>
  </si>
  <si>
    <t>GCTCAGTTAT</t>
  </si>
  <si>
    <t>ATCTGACCAT</t>
  </si>
  <si>
    <t>AACCTACGAC</t>
  </si>
  <si>
    <t>GCATCCTAAC</t>
  </si>
  <si>
    <t>CAACGAGTAC</t>
  </si>
  <si>
    <t>TGCAAGACAC</t>
  </si>
  <si>
    <t>CTTACAGCAC</t>
  </si>
  <si>
    <t>ACCGACAAAC</t>
  </si>
  <si>
    <t>ACATGCCAAC</t>
  </si>
  <si>
    <t>GAGCAATCAC</t>
  </si>
  <si>
    <t>CCTCATCTAC</t>
  </si>
  <si>
    <t>TACTGCTCAC</t>
  </si>
  <si>
    <t>TTACCGACAC</t>
  </si>
  <si>
    <t>CCGTAACTAC</t>
  </si>
  <si>
    <t>TTCCAGGTAC</t>
  </si>
  <si>
    <t>CCATGAACAC</t>
  </si>
  <si>
    <t>TTCCTCCTAC</t>
  </si>
  <si>
    <t>CCAACTTCAC</t>
  </si>
  <si>
    <t>GAGACCAAAC</t>
  </si>
  <si>
    <t>ACAGTTCGAC</t>
  </si>
  <si>
    <t>CTAACCTGAC</t>
  </si>
  <si>
    <t>TCCGATCAAC</t>
  </si>
  <si>
    <t>AGAAGGACAC</t>
  </si>
  <si>
    <t>GACGAACTAC</t>
  </si>
  <si>
    <t>TTGCAACGAC</t>
  </si>
  <si>
    <t>CCAACGAAAC</t>
  </si>
  <si>
    <t>ATCGGAGAAC</t>
  </si>
  <si>
    <t>CCTAACAGAC</t>
  </si>
  <si>
    <t>CATACTCGAC</t>
  </si>
  <si>
    <t>TGCCTCAAAC</t>
  </si>
  <si>
    <t>TACAGAGCAC</t>
  </si>
  <si>
    <t>CGAGAGAAAC</t>
  </si>
  <si>
    <t>AGGTAGGAAC</t>
  </si>
  <si>
    <t>GAACGAAGAC</t>
  </si>
  <si>
    <t>TCGAACCTAC</t>
  </si>
  <si>
    <t>CAAGGTACAC</t>
  </si>
  <si>
    <t>AGCTACCAAC</t>
  </si>
  <si>
    <t>CATCCAAGAC</t>
  </si>
  <si>
    <t>CTCACCAAAC</t>
  </si>
  <si>
    <t>TCAGTAGGAC</t>
  </si>
  <si>
    <t>GAACGTGAAC</t>
  </si>
  <si>
    <t>AGGAACACAC</t>
  </si>
  <si>
    <t>CCTAAGTCAC</t>
  </si>
  <si>
    <t>AACGCACAAC</t>
  </si>
  <si>
    <t>GTCAACAGAC</t>
  </si>
  <si>
    <t>ACACCTCAAC</t>
  </si>
  <si>
    <t>TATGGCACAC</t>
  </si>
  <si>
    <t>CGCAATGTAC</t>
  </si>
  <si>
    <t>ACTCAACGAC</t>
  </si>
  <si>
    <t>GTCTGCAAAC</t>
  </si>
  <si>
    <t>CACGATTCAC</t>
  </si>
  <si>
    <t>AGAAGCCTAC</t>
  </si>
  <si>
    <t>TACTCCAGAC</t>
  </si>
  <si>
    <t>CGTCAAGAAC</t>
  </si>
  <si>
    <t>CTGTACCAAC</t>
  </si>
  <si>
    <t>TCACCTAGAC</t>
  </si>
  <si>
    <t>AACACCACAC</t>
  </si>
  <si>
    <t>CGTCTTCAAC</t>
  </si>
  <si>
    <t>AACGTAGCAC</t>
  </si>
  <si>
    <t>GCAACCATAC</t>
  </si>
  <si>
    <t>GATCCACTAC</t>
  </si>
  <si>
    <t>ACCTAGACAC</t>
  </si>
  <si>
    <t>CTAGCAGTAC</t>
  </si>
  <si>
    <t>TCGATGACAC</t>
  </si>
  <si>
    <t>TTGGTGCAAC</t>
  </si>
  <si>
    <t>AGTGCATCAC</t>
  </si>
  <si>
    <t>CCGTTATGAC</t>
  </si>
  <si>
    <t>TGTCGACTAC</t>
  </si>
  <si>
    <t>CTCTATCGAC</t>
  </si>
  <si>
    <t>ACTGCTTGAC</t>
  </si>
  <si>
    <t>CGCCTTATAC</t>
  </si>
  <si>
    <t>ATAGGTCCAC</t>
  </si>
  <si>
    <t>TGATCACGAC</t>
  </si>
  <si>
    <t>CGGATCAAAC</t>
  </si>
  <si>
    <t>TACTAGCGAC</t>
  </si>
  <si>
    <t>TGGACCATAC</t>
  </si>
  <si>
    <t>GCGCATATAC</t>
  </si>
  <si>
    <t>ATCGCAACAC</t>
  </si>
  <si>
    <t>TCAGCCTTAC</t>
  </si>
  <si>
    <t>CATTGACGAC</t>
  </si>
  <si>
    <t>ACAGGCATAC</t>
  </si>
  <si>
    <t>AGGTCTGTAC</t>
  </si>
  <si>
    <t>CAGATCCTAC</t>
  </si>
  <si>
    <t>CTCCTGAAAC</t>
  </si>
  <si>
    <t>AGAGGATGAC</t>
  </si>
  <si>
    <t>CACCATGAAC</t>
  </si>
  <si>
    <t>CGGTAATCAC</t>
  </si>
  <si>
    <t>GAGTGTGTAC</t>
  </si>
  <si>
    <t>AACTGAGGAC</t>
  </si>
  <si>
    <t>TGTGTCAGAC</t>
  </si>
  <si>
    <t>TGTCACACAC</t>
  </si>
  <si>
    <t>AGATCGTCAC</t>
  </si>
  <si>
    <t>CAATGCGAAC</t>
  </si>
  <si>
    <t>TGCTTGCTAC</t>
  </si>
  <si>
    <t>AATGGTCGAC</t>
  </si>
  <si>
    <t>AGTTGTGCAC</t>
  </si>
  <si>
    <t>GTATCGAGAC</t>
  </si>
  <si>
    <t>GTACGATCAC</t>
  </si>
  <si>
    <t>cosc_f1</t>
  </si>
  <si>
    <t>cosc_f3</t>
  </si>
  <si>
    <t>cosc_f5</t>
  </si>
  <si>
    <t>l6f</t>
  </si>
  <si>
    <t>l7f</t>
  </si>
  <si>
    <t>a3u</t>
  </si>
  <si>
    <t>a1u</t>
  </si>
  <si>
    <t>l5u</t>
  </si>
  <si>
    <t>KFM02a_control</t>
  </si>
  <si>
    <t>s3f</t>
  </si>
  <si>
    <t>s2u</t>
  </si>
  <si>
    <t>media+gw_d</t>
  </si>
  <si>
    <t>media+gw_a</t>
  </si>
  <si>
    <t>media+gw_b</t>
  </si>
  <si>
    <t>methanol_a</t>
  </si>
  <si>
    <t>methanol_c</t>
  </si>
  <si>
    <t>methanol_d</t>
  </si>
  <si>
    <t>media+oil_b</t>
  </si>
  <si>
    <t>medium_a</t>
  </si>
  <si>
    <t>media+gw+oil_b</t>
  </si>
  <si>
    <t>media+gw+oil_c</t>
  </si>
  <si>
    <t>KFM24_1</t>
  </si>
  <si>
    <t>KFM24_2</t>
  </si>
  <si>
    <t>KFM24_3</t>
  </si>
  <si>
    <t>KFM02a_2</t>
  </si>
  <si>
    <t>KFM02a_3</t>
  </si>
  <si>
    <t>KFM02a_5</t>
  </si>
  <si>
    <t>l3u</t>
  </si>
  <si>
    <t>a1f</t>
  </si>
  <si>
    <t>l2f</t>
  </si>
  <si>
    <t>a4f</t>
  </si>
  <si>
    <t>SA1420_srma</t>
  </si>
  <si>
    <t>l1f</t>
  </si>
  <si>
    <t>l2u</t>
  </si>
  <si>
    <t>a4u</t>
  </si>
  <si>
    <t>id</t>
  </si>
  <si>
    <t>&lt; 0.05</t>
  </si>
  <si>
    <r>
      <t>DNA conc. [ng µl</t>
    </r>
    <r>
      <rPr>
        <vertAlign val="superscript"/>
        <sz val="12"/>
        <color theme="1"/>
        <rFont val="Helvetica Neue"/>
        <family val="2"/>
      </rPr>
      <t>-1</t>
    </r>
    <r>
      <rPr>
        <sz val="12"/>
        <color theme="1"/>
        <rFont val="Helvetica Neue"/>
        <family val="2"/>
      </rPr>
      <t>]</t>
    </r>
  </si>
  <si>
    <t>SA1420_srmb</t>
  </si>
  <si>
    <t>Amount DNA [ng]</t>
  </si>
  <si>
    <t>Cycles PCR</t>
  </si>
  <si>
    <t>Water [µl]</t>
  </si>
  <si>
    <t>DNA [µl]</t>
  </si>
  <si>
    <t>Batch Magicprep</t>
  </si>
  <si>
    <t>Position strip</t>
  </si>
  <si>
    <r>
      <t>DNA library [ng µl</t>
    </r>
    <r>
      <rPr>
        <vertAlign val="superscript"/>
        <sz val="12"/>
        <color theme="1"/>
        <rFont val="Helvetica Neue"/>
        <family val="2"/>
      </rPr>
      <t>-1</t>
    </r>
    <r>
      <rPr>
        <sz val="12"/>
        <color theme="1"/>
        <rFont val="Helvetica Neue"/>
        <family val="2"/>
      </rPr>
      <t>]</t>
    </r>
  </si>
  <si>
    <t>A3</t>
  </si>
  <si>
    <t>B1</t>
  </si>
  <si>
    <t>B2</t>
  </si>
  <si>
    <t>B3</t>
  </si>
  <si>
    <t>B4</t>
  </si>
  <si>
    <t>Ref</t>
  </si>
  <si>
    <t>3018832/22450191</t>
  </si>
  <si>
    <t>30188844/22460341</t>
  </si>
  <si>
    <t>media_control</t>
  </si>
  <si>
    <t>30188845/22460290</t>
  </si>
  <si>
    <t>&gt; 60 (1:1 35.9)</t>
  </si>
  <si>
    <t>&gt; 60 (1:1 53.0)</t>
  </si>
  <si>
    <t>&gt; 60 (1:1 26.0)</t>
  </si>
  <si>
    <t>Amount in pool [ng]</t>
  </si>
  <si>
    <t>Number of samples</t>
  </si>
  <si>
    <t>Sample</t>
  </si>
  <si>
    <t>Comments</t>
  </si>
  <si>
    <t>Failed due to wrong beads</t>
  </si>
  <si>
    <t>Required volume library [µl]</t>
  </si>
  <si>
    <r>
      <t>DNA amount most concentrated library [</t>
    </r>
    <r>
      <rPr>
        <b/>
        <sz val="12"/>
        <color theme="1"/>
        <rFont val="Helvetica Neue"/>
        <family val="2"/>
      </rPr>
      <t>ng</t>
    </r>
    <r>
      <rPr>
        <sz val="12"/>
        <color theme="1"/>
        <rFont val="Helvetica Neue"/>
        <family val="2"/>
      </rPr>
      <t>]</t>
    </r>
  </si>
  <si>
    <r>
      <t>Final amount in library [</t>
    </r>
    <r>
      <rPr>
        <b/>
        <sz val="12"/>
        <color theme="1"/>
        <rFont val="Helvetica Neue"/>
        <family val="2"/>
      </rPr>
      <t>ng</t>
    </r>
    <r>
      <rPr>
        <sz val="12"/>
        <color theme="1"/>
        <rFont val="Helvetica Neue"/>
        <family val="2"/>
      </rPr>
      <t>]</t>
    </r>
  </si>
  <si>
    <r>
      <t>Total volume undiluted library [</t>
    </r>
    <r>
      <rPr>
        <b/>
        <sz val="12"/>
        <color theme="1"/>
        <rFont val="Helvetica Neue"/>
        <family val="2"/>
      </rPr>
      <t>µl</t>
    </r>
    <r>
      <rPr>
        <sz val="12"/>
        <color theme="1"/>
        <rFont val="Helvetica Neue"/>
        <family val="2"/>
      </rPr>
      <t>]</t>
    </r>
  </si>
  <si>
    <r>
      <t>Concentration library [</t>
    </r>
    <r>
      <rPr>
        <b/>
        <sz val="12"/>
        <color theme="1"/>
        <rFont val="Helvetica Neue"/>
        <family val="2"/>
      </rPr>
      <t>ng µl-1</t>
    </r>
    <r>
      <rPr>
        <sz val="12"/>
        <color theme="1"/>
        <rFont val="Helvetica Neue"/>
        <family val="2"/>
      </rPr>
      <t>]</t>
    </r>
  </si>
  <si>
    <r>
      <t>Desired concentration [</t>
    </r>
    <r>
      <rPr>
        <b/>
        <sz val="12"/>
        <color theme="1"/>
        <rFont val="Helvetica Neue"/>
        <family val="2"/>
      </rPr>
      <t>ng µl-1</t>
    </r>
    <r>
      <rPr>
        <sz val="12"/>
        <color theme="1"/>
        <rFont val="Helvetica Neue"/>
        <family val="2"/>
      </rPr>
      <t>]</t>
    </r>
  </si>
  <si>
    <r>
      <t>Desired volume [</t>
    </r>
    <r>
      <rPr>
        <b/>
        <sz val="12"/>
        <color theme="1"/>
        <rFont val="Helvetica Neue"/>
        <family val="2"/>
      </rPr>
      <t>µl</t>
    </r>
    <r>
      <rPr>
        <sz val="12"/>
        <color theme="1"/>
        <rFont val="Helvetica Neue"/>
        <family val="2"/>
      </rPr>
      <t>]</t>
    </r>
  </si>
  <si>
    <r>
      <t>Volume library for dilution [</t>
    </r>
    <r>
      <rPr>
        <b/>
        <sz val="12"/>
        <color theme="1"/>
        <rFont val="Helvetica Neue"/>
        <family val="2"/>
      </rPr>
      <t>µl</t>
    </r>
    <r>
      <rPr>
        <sz val="12"/>
        <color theme="1"/>
        <rFont val="Helvetica Neue"/>
        <family val="2"/>
      </rPr>
      <t>]</t>
    </r>
  </si>
  <si>
    <r>
      <t>Volume TE-buffer [</t>
    </r>
    <r>
      <rPr>
        <b/>
        <sz val="12"/>
        <color theme="1"/>
        <rFont val="Helvetica Neue"/>
        <family val="2"/>
      </rPr>
      <t>µl</t>
    </r>
    <r>
      <rPr>
        <sz val="12"/>
        <color theme="1"/>
        <rFont val="Helvetica Neue"/>
        <family val="2"/>
      </rPr>
      <t>]</t>
    </r>
  </si>
  <si>
    <t>TecanUDI_A</t>
  </si>
  <si>
    <t>49_UDI_A07</t>
  </si>
  <si>
    <t>_B3</t>
  </si>
  <si>
    <t>TGCTGTGA</t>
  </si>
  <si>
    <t>CACGATTC</t>
  </si>
  <si>
    <t>GAATCGTG</t>
  </si>
  <si>
    <t>50_UDI_B07</t>
  </si>
  <si>
    <t>CAACACAG</t>
  </si>
  <si>
    <t>AGAAGCCT</t>
  </si>
  <si>
    <t>AGGCTTCT</t>
  </si>
  <si>
    <t>51_UDI_C07</t>
  </si>
  <si>
    <t>CCACATTG</t>
  </si>
  <si>
    <t>TACTCCAG</t>
  </si>
  <si>
    <t>CTGGAGTA</t>
  </si>
  <si>
    <t>52_UDI_D07</t>
  </si>
  <si>
    <t>TAGTGCCA</t>
  </si>
  <si>
    <t>CGTCAAGA</t>
  </si>
  <si>
    <t>TCTTGACG</t>
  </si>
  <si>
    <t>53_UDI_E07</t>
  </si>
  <si>
    <t>TCGTGCAT</t>
  </si>
  <si>
    <t>CTGTACCA</t>
  </si>
  <si>
    <t>TGGTACAG</t>
  </si>
  <si>
    <t>54_UDI_F07</t>
  </si>
  <si>
    <t>CTACATCC</t>
  </si>
  <si>
    <t>TCACCTAG</t>
  </si>
  <si>
    <t>CTAGGTGA</t>
  </si>
  <si>
    <t>55_UDI_G07</t>
  </si>
  <si>
    <t>CATACGGA</t>
  </si>
  <si>
    <t>AACACCAC</t>
  </si>
  <si>
    <t>GTGGTGTT</t>
  </si>
  <si>
    <t>56_UDI_H07</t>
  </si>
  <si>
    <t>TGCGTAAC</t>
  </si>
  <si>
    <t>CGTCTTCA</t>
  </si>
  <si>
    <t>TGAAGACG</t>
  </si>
  <si>
    <t>57_UDI_A08</t>
  </si>
  <si>
    <t>_B4</t>
  </si>
  <si>
    <t>CAGGTTCA</t>
  </si>
  <si>
    <t>AACGTAGC</t>
  </si>
  <si>
    <t>GCTACGTT</t>
  </si>
  <si>
    <t>58_UDI_B08</t>
  </si>
  <si>
    <t>AGAACCAG</t>
  </si>
  <si>
    <t>GCAACCAT</t>
  </si>
  <si>
    <t>ATGGTTGC</t>
  </si>
  <si>
    <t>59_UDI_C08</t>
  </si>
  <si>
    <t>GAATGGCA</t>
  </si>
  <si>
    <t>GATCCACT</t>
  </si>
  <si>
    <t>AGTGGATC</t>
  </si>
  <si>
    <t>60_UDI_D08</t>
  </si>
  <si>
    <t>AGGCAATG</t>
  </si>
  <si>
    <t>ACCTAGAC</t>
  </si>
  <si>
    <t>GTCTAGGT</t>
  </si>
  <si>
    <t>61_UDI_E08</t>
  </si>
  <si>
    <t>TAGGAGCT</t>
  </si>
  <si>
    <t>CTAGCAGT</t>
  </si>
  <si>
    <t>ACTGCTAG</t>
  </si>
  <si>
    <t>62_UDI_F08</t>
  </si>
  <si>
    <t>CGAACAAC</t>
  </si>
  <si>
    <t>TCGATGAC</t>
  </si>
  <si>
    <t>GTCATCGA</t>
  </si>
  <si>
    <t>63_UDI_G08</t>
  </si>
  <si>
    <t>CATTCGTC</t>
  </si>
  <si>
    <t>TTGGTGCA</t>
  </si>
  <si>
    <t>TGCACCAA</t>
  </si>
  <si>
    <t>64_UDI_H08</t>
  </si>
  <si>
    <t>AGCCAACT</t>
  </si>
  <si>
    <t>AGTGCATC</t>
  </si>
  <si>
    <t>GATGCACT</t>
  </si>
  <si>
    <t>65_UDI_A09</t>
  </si>
  <si>
    <t>_C1</t>
  </si>
  <si>
    <t>GCCTTAAC</t>
  </si>
  <si>
    <t>CCGTTATG</t>
  </si>
  <si>
    <t>CATAACGG</t>
  </si>
  <si>
    <t>66_UDI_B09</t>
  </si>
  <si>
    <t>ATTCCGCT</t>
  </si>
  <si>
    <t>TGTCGACT</t>
  </si>
  <si>
    <t>AGTCGACA</t>
  </si>
  <si>
    <t>67_UDI_C09</t>
  </si>
  <si>
    <t>ATCGTGGT</t>
  </si>
  <si>
    <t>CTCTATCG</t>
  </si>
  <si>
    <t>CGATAGAG</t>
  </si>
  <si>
    <t>68_UDI_D09</t>
  </si>
  <si>
    <t>GCTACAAC</t>
  </si>
  <si>
    <t>ACTGCTTG</t>
  </si>
  <si>
    <t>CAAGCAGT</t>
  </si>
  <si>
    <t>69_UDI_E09</t>
  </si>
  <si>
    <t>TCTACGCA</t>
  </si>
  <si>
    <t>CGCCTTAT</t>
  </si>
  <si>
    <t>ATAAGGCG</t>
  </si>
  <si>
    <t>70_UDI_F09</t>
  </si>
  <si>
    <t>CTCCAATC</t>
  </si>
  <si>
    <t>ATAGGTCC</t>
  </si>
  <si>
    <t>GGACCTAT</t>
  </si>
  <si>
    <t>71_UDI_G09</t>
  </si>
  <si>
    <t>ACTCTCCA</t>
  </si>
  <si>
    <t>TGATCACG</t>
  </si>
  <si>
    <t>CGTGATCA</t>
  </si>
  <si>
    <t>72_UDI_H09</t>
  </si>
  <si>
    <t>GTCTCATC</t>
  </si>
  <si>
    <t>CGGATCAA</t>
  </si>
  <si>
    <t>TTGATCCG</t>
  </si>
  <si>
    <t>73_UDI_A10</t>
  </si>
  <si>
    <t>_C2</t>
  </si>
  <si>
    <t>GCCAGAAT</t>
  </si>
  <si>
    <t>TACTAGCG</t>
  </si>
  <si>
    <t>CGCTAGTA</t>
  </si>
  <si>
    <t>74_UDI_B10</t>
  </si>
  <si>
    <t>AATGACGC</t>
  </si>
  <si>
    <t>TGGACCAT</t>
  </si>
  <si>
    <t>ATGGTCCA</t>
  </si>
  <si>
    <t>75_UDI_C10</t>
  </si>
  <si>
    <t>GTACCACA</t>
  </si>
  <si>
    <t>GCGCATAT</t>
  </si>
  <si>
    <t>ATATGCGC</t>
  </si>
  <si>
    <t>76_UDI_D10</t>
  </si>
  <si>
    <t>ACGATCAG</t>
  </si>
  <si>
    <t>ATCGCAAC</t>
  </si>
  <si>
    <t>GTTGCGAT</t>
  </si>
  <si>
    <t>77_UDI_E10</t>
  </si>
  <si>
    <t>TAACGTCG</t>
  </si>
  <si>
    <t>TCAGCCTT</t>
  </si>
  <si>
    <t>AAGGCTGA</t>
  </si>
  <si>
    <t>78_UDI_F10</t>
  </si>
  <si>
    <t>CGCAACTA</t>
  </si>
  <si>
    <t>CATTGACG</t>
  </si>
  <si>
    <t>CGTCAATG</t>
  </si>
  <si>
    <t>79_UDI_G10</t>
  </si>
  <si>
    <t>AACACTGG</t>
  </si>
  <si>
    <t>ACAGGCAT</t>
  </si>
  <si>
    <t>ATGCCTGT</t>
  </si>
  <si>
    <t>80_UDI_H10</t>
  </si>
  <si>
    <t>CCTGTCAA</t>
  </si>
  <si>
    <t>AGGTCTGT</t>
  </si>
  <si>
    <t>ACAGACCT</t>
  </si>
  <si>
    <t>81_UDI_A11</t>
  </si>
  <si>
    <t>_C3</t>
  </si>
  <si>
    <t>TCCTGGTA</t>
  </si>
  <si>
    <t>CAGATCCT</t>
  </si>
  <si>
    <t>AGGATCTG</t>
  </si>
  <si>
    <t>82_UDI_B11</t>
  </si>
  <si>
    <t>CATCAACC</t>
  </si>
  <si>
    <t>CTCCTGAA</t>
  </si>
  <si>
    <t>TTCAGGAG</t>
  </si>
  <si>
    <t>83_UDI_C11</t>
  </si>
  <si>
    <t>AGCAGACA</t>
  </si>
  <si>
    <t>AGAGGATG</t>
  </si>
  <si>
    <t>CATCCTCT</t>
  </si>
  <si>
    <t>84_UDI_D11</t>
  </si>
  <si>
    <t>GAAGACTG</t>
  </si>
  <si>
    <t>CACCATGA</t>
  </si>
  <si>
    <t>TCATGGTG</t>
  </si>
  <si>
    <t>85_UDI_E11</t>
  </si>
  <si>
    <t>TCTAGTCC</t>
  </si>
  <si>
    <t>CGGTAATC</t>
  </si>
  <si>
    <t>GATTACCG</t>
  </si>
  <si>
    <t>86_UDI_F11</t>
  </si>
  <si>
    <t>CTCGACTT</t>
  </si>
  <si>
    <t>GAGTGTGT</t>
  </si>
  <si>
    <t>ACACACTC</t>
  </si>
  <si>
    <t>87_UDI_G11</t>
  </si>
  <si>
    <t>CTAGCTCA</t>
  </si>
  <si>
    <t>AACTGAGG</t>
  </si>
  <si>
    <t>CCTCAGTT</t>
  </si>
  <si>
    <t>88_UDI_H11</t>
  </si>
  <si>
    <t>TCCAACTG</t>
  </si>
  <si>
    <t>TGTGTCAG</t>
  </si>
  <si>
    <t>CTGACACA</t>
  </si>
  <si>
    <t>89_UDI_A12</t>
  </si>
  <si>
    <t>_C4</t>
  </si>
  <si>
    <t>GACATCTC</t>
  </si>
  <si>
    <t>TGTCACAC</t>
  </si>
  <si>
    <t>GTGTGACA</t>
  </si>
  <si>
    <t>90_UDI_B12</t>
  </si>
  <si>
    <t>ACTGCACT</t>
  </si>
  <si>
    <t>AGATCGTC</t>
  </si>
  <si>
    <t>GACGATCT</t>
  </si>
  <si>
    <t>91_UDI_C12</t>
  </si>
  <si>
    <t>GTTCCATG</t>
  </si>
  <si>
    <t>CAATGCGA</t>
  </si>
  <si>
    <t>TCGCATTG</t>
  </si>
  <si>
    <t>92_UDI_D12</t>
  </si>
  <si>
    <t>ACCAAGCA</t>
  </si>
  <si>
    <t>TGCTTGCT</t>
  </si>
  <si>
    <t>AGCAAGCA</t>
  </si>
  <si>
    <t>93_UDI_E12</t>
  </si>
  <si>
    <t>CTCTCAGA</t>
  </si>
  <si>
    <t>AATGGTCG</t>
  </si>
  <si>
    <t>CGACCATT</t>
  </si>
  <si>
    <t>94_UDI_F12</t>
  </si>
  <si>
    <t>ACTCTGAG</t>
  </si>
  <si>
    <t>AGTTGTGC</t>
  </si>
  <si>
    <t>GCACAACT</t>
  </si>
  <si>
    <t>95_UDI_G12</t>
  </si>
  <si>
    <t>GCTCAGTT</t>
  </si>
  <si>
    <t>GTATCGAG</t>
  </si>
  <si>
    <t>CTCGATAC</t>
  </si>
  <si>
    <t>96_UDI_H12</t>
  </si>
  <si>
    <t>ATCTGACC</t>
  </si>
  <si>
    <t>GTACGATC</t>
  </si>
  <si>
    <t>GATCGTAC</t>
  </si>
  <si>
    <t>&gt; 60 (1:1 49.8)</t>
  </si>
  <si>
    <t>&gt; 60 (1:1 36.5)</t>
  </si>
  <si>
    <t>30188846/22460291</t>
  </si>
  <si>
    <t>Deck</t>
  </si>
  <si>
    <t>Library diluted 1:1 in low-EDTA TE-buffer</t>
  </si>
  <si>
    <t>GTACACCT-GAGACCAA</t>
  </si>
  <si>
    <t>ACGAGAAC-ACAGTTCG</t>
  </si>
  <si>
    <t>CGACCTAA-CTAACCTG</t>
  </si>
  <si>
    <t>TACATCGG-TCCGATCA</t>
  </si>
  <si>
    <t>ATCGTCTC-AGAAGGAC</t>
  </si>
  <si>
    <t>UDI-8 bp formatted</t>
  </si>
  <si>
    <t>UDI-10 bp formatted</t>
  </si>
  <si>
    <t>UDI-8 bp Scilife formatted</t>
  </si>
  <si>
    <t>UDI-10 bp Scilife formatted</t>
  </si>
  <si>
    <t>GTACACCTAT-GAGACCAAAC</t>
  </si>
  <si>
    <t>ACGAGAACAT-ACAGTTCGAC</t>
  </si>
  <si>
    <t>CGACCTAAAT-CTAACCTGAC</t>
  </si>
  <si>
    <t>TACATCGGAT-TCCGATCAAC</t>
  </si>
  <si>
    <t>ATCGTCTCAT-AGAAGGACAC</t>
  </si>
  <si>
    <t>AGGTTCCT-TCGAACCT</t>
  </si>
  <si>
    <t>AGGTTCCTAT-TCGAACCTAC</t>
  </si>
  <si>
    <t>GAACCTTC-CAAGGTAC</t>
  </si>
  <si>
    <t>GAACCTTCAT-CAAGGTACAC</t>
  </si>
  <si>
    <t>AAGTCCTC-AGCTACCA</t>
  </si>
  <si>
    <t>AAGTCCTCAT-AGCTACCAAC</t>
  </si>
  <si>
    <t>CCACAACA-CATCCAAG</t>
  </si>
  <si>
    <t>CCACAACAAT-CATCCAAGAC</t>
  </si>
  <si>
    <t>ATAACGCC-CTCACCAA</t>
  </si>
  <si>
    <t>ATAACGCCAT-CTCACCAAAC</t>
  </si>
  <si>
    <t>CCGGAATA-TCAGTAGG</t>
  </si>
  <si>
    <t>CCGGAATAAT-TCAGTAGGAC</t>
  </si>
  <si>
    <t>CCAAGTAG-GAACGTGA</t>
  </si>
  <si>
    <t>CCAAGTAGAT-GAACGTGAAC</t>
  </si>
  <si>
    <t>ACGCTTCT-CCTAAGTC</t>
  </si>
  <si>
    <t>ACGCTTCTAT-CCTAAGTCAC</t>
  </si>
  <si>
    <t>TGACAACC-GTCAACAG</t>
  </si>
  <si>
    <t>TGACAACCAT-GTCAACAGAC</t>
  </si>
  <si>
    <t>CAGTGCTT-ACACCTCA</t>
  </si>
  <si>
    <t>CAGTGCTTAT-ACACCTCAAC</t>
  </si>
  <si>
    <t>TCACTCGA-TATGGCAC</t>
  </si>
  <si>
    <t>TCACTCGAAT-TATGGCACAC</t>
  </si>
  <si>
    <t>CTGACTAC-CGCAATGT</t>
  </si>
  <si>
    <t>CTGACTACAT-CGCAATGTAC</t>
  </si>
  <si>
    <t>GTGATCCA-ACTCAACG</t>
  </si>
  <si>
    <t>GTGATCCAAT-ACTCAACGAC</t>
  </si>
  <si>
    <t>TGCTGTGA-CACGATTC</t>
  </si>
  <si>
    <t>TGCTGTGAAT-CACGATTCAC</t>
  </si>
  <si>
    <t>CAACACAG-AGAAGCCT</t>
  </si>
  <si>
    <t>CAACACAGAT-AGAAGCCTAC</t>
  </si>
  <si>
    <t>CCACATTG-TACTCCAG</t>
  </si>
  <si>
    <t>CCACATTGAT-TACTCCAGAC</t>
  </si>
  <si>
    <t>TAGTGCCA-CGTCAAGA</t>
  </si>
  <si>
    <t>TAGTGCCAAT-CGTCAAGAAC</t>
  </si>
  <si>
    <t>CTACATCC-TCACCTAG</t>
  </si>
  <si>
    <t>CTACATCCAT-TCACCTAGAC</t>
  </si>
  <si>
    <t>CATACGGA-AACACCAC</t>
  </si>
  <si>
    <t>CATACGGAAT-AACACCACAC</t>
  </si>
  <si>
    <t>TGCGTAAC-CGTCTTCA</t>
  </si>
  <si>
    <t>TGCGTAACAT-CGTCTTCAAC</t>
  </si>
  <si>
    <t>CAGGTTCA-AACGTAGC</t>
  </si>
  <si>
    <t>CAGGTTCAAT-AACGTAGCAC</t>
  </si>
  <si>
    <t>AGAACCAG-GCAACCAT</t>
  </si>
  <si>
    <t>AGAACCAGAT-GCAACCATAC</t>
  </si>
  <si>
    <t>GAATGGCA-GATCCACT</t>
  </si>
  <si>
    <t>GAATGGCAAT-GATCCACTAC</t>
  </si>
  <si>
    <t>AGGCAATG-ACCTAGAC</t>
  </si>
  <si>
    <t>AGGCAATGAT-ACCTAGACAC</t>
  </si>
  <si>
    <t>TAGGAGCT-CTAGCAGT</t>
  </si>
  <si>
    <t>TAGGAGCTAT-CTAGCAGTAC</t>
  </si>
  <si>
    <t>CGAACAAC-TCGATGAC</t>
  </si>
  <si>
    <t>CGAACAACAT-TCGATGACAC</t>
  </si>
  <si>
    <t>CATTCGTC-TTGGTGCA</t>
  </si>
  <si>
    <t>CATTCGTCAT-TTGGTGCAAC</t>
  </si>
  <si>
    <t>AGCCAACT-AGTGCATC</t>
  </si>
  <si>
    <t>AGCCAACTAT-AGTGCATCAC</t>
  </si>
  <si>
    <t>SA1420_SRM_a</t>
  </si>
  <si>
    <t>SA1420_SRM_b</t>
  </si>
  <si>
    <t>30188847/22460292</t>
  </si>
  <si>
    <t>A4 deck failed due to wrong beads (batch 2)</t>
  </si>
  <si>
    <t>x</t>
  </si>
  <si>
    <t>&gt; 60 (1:1 52.0)</t>
  </si>
  <si>
    <t>&gt; 60 (1:1 39.7)</t>
  </si>
  <si>
    <t>&gt; 60 (1:1 56.0)</t>
  </si>
  <si>
    <t>Qubit pool 1:1 in low-EDTA TE-buffer</t>
  </si>
  <si>
    <t>Qubit pool undiluted [ng µl-1]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</si>
</sst>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 Unicode MS"/>
      <family val="2"/>
    </font>
    <font>
      <sz val="12"/>
      <color rgb="FF000000"/>
      <name val="Helvetica Neue"/>
      <family val="2"/>
    </font>
    <font>
      <sz val="12"/>
      <color theme="1"/>
      <name val="Helvetica Neue"/>
      <family val="2"/>
    </font>
    <font>
      <vertAlign val="superscript"/>
      <sz val="12"/>
      <color theme="1"/>
      <name val="Helvetica Neue"/>
      <family val="2"/>
    </font>
    <font>
      <sz val="8"/>
      <name val="Calibri"/>
      <family val="2"/>
      <scheme val="minor"/>
    </font>
    <font>
      <sz val="11"/>
      <color theme="1"/>
      <name val="Helvetica Neue"/>
      <family val="2"/>
    </font>
    <font>
      <b/>
      <sz val="12"/>
      <color theme="1"/>
      <name val="Helvetica Neue"/>
      <family val="2"/>
    </font>
    <font>
      <sz val="11"/>
      <color rgb="FF000000"/>
      <name val="Helvetica Neue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" fillId="4" borderId="0" xfId="0" applyFont="1" applyFill="1"/>
    <xf numFmtId="0" fontId="3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/>
    <xf numFmtId="0" fontId="3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6" borderId="0" xfId="0" applyFont="1" applyFill="1"/>
    <xf numFmtId="0" fontId="3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1" fillId="7" borderId="0" xfId="0" applyFont="1" applyFill="1"/>
    <xf numFmtId="0" fontId="3" fillId="8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1" fillId="8" borderId="0" xfId="0" applyFont="1" applyFill="1"/>
    <xf numFmtId="0" fontId="3" fillId="9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1" fillId="9" borderId="0" xfId="0" applyFont="1" applyFill="1"/>
    <xf numFmtId="0" fontId="2" fillId="10" borderId="3" xfId="0" applyFont="1" applyFill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8" borderId="0" xfId="0" applyFont="1" applyFill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164" fontId="5" fillId="0" borderId="4" xfId="0" applyNumberFormat="1" applyFont="1" applyBorder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left" vertical="top"/>
    </xf>
    <xf numFmtId="2" fontId="5" fillId="0" borderId="5" xfId="0" applyNumberFormat="1" applyFont="1" applyBorder="1" applyAlignment="1">
      <alignment horizontal="left" vertical="top"/>
    </xf>
    <xf numFmtId="2" fontId="5" fillId="0" borderId="4" xfId="0" applyNumberFormat="1" applyFont="1" applyBorder="1" applyAlignment="1">
      <alignment horizontal="left" vertical="top"/>
    </xf>
    <xf numFmtId="165" fontId="5" fillId="0" borderId="4" xfId="0" applyNumberFormat="1" applyFont="1" applyBorder="1" applyAlignment="1">
      <alignment horizontal="left" vertical="top"/>
    </xf>
    <xf numFmtId="165" fontId="4" fillId="0" borderId="4" xfId="0" applyNumberFormat="1" applyFont="1" applyBorder="1" applyAlignment="1">
      <alignment horizontal="left" vertical="top"/>
    </xf>
    <xf numFmtId="16" fontId="5" fillId="0" borderId="0" xfId="0" applyNumberFormat="1" applyFont="1" applyAlignment="1">
      <alignment horizontal="left" vertical="top"/>
    </xf>
    <xf numFmtId="2" fontId="5" fillId="11" borderId="4" xfId="0" applyNumberFormat="1" applyFont="1" applyFill="1" applyBorder="1" applyAlignment="1">
      <alignment horizontal="left" vertical="top"/>
    </xf>
    <xf numFmtId="0" fontId="5" fillId="0" borderId="0" xfId="0" applyFont="1"/>
    <xf numFmtId="165" fontId="5" fillId="0" borderId="0" xfId="0" applyNumberFormat="1" applyFont="1"/>
    <xf numFmtId="0" fontId="4" fillId="0" borderId="4" xfId="0" applyFont="1" applyBorder="1" applyAlignment="1">
      <alignment horizontal="left" vertical="top" wrapText="1"/>
    </xf>
    <xf numFmtId="0" fontId="5" fillId="0" borderId="4" xfId="0" applyFont="1" applyBorder="1"/>
    <xf numFmtId="165" fontId="5" fillId="0" borderId="4" xfId="0" applyNumberFormat="1" applyFont="1" applyBorder="1"/>
    <xf numFmtId="2" fontId="5" fillId="11" borderId="0" xfId="0" applyNumberFormat="1" applyFont="1" applyFill="1" applyAlignment="1">
      <alignment horizontal="left" vertical="top"/>
    </xf>
    <xf numFmtId="0" fontId="5" fillId="0" borderId="7" xfId="0" applyFont="1" applyBorder="1"/>
    <xf numFmtId="0" fontId="5" fillId="0" borderId="5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164" fontId="5" fillId="11" borderId="0" xfId="0" applyNumberFormat="1" applyFont="1" applyFill="1" applyAlignment="1">
      <alignment horizontal="left" vertical="top"/>
    </xf>
    <xf numFmtId="165" fontId="5" fillId="0" borderId="10" xfId="0" applyNumberFormat="1" applyFont="1" applyBorder="1"/>
    <xf numFmtId="0" fontId="4" fillId="8" borderId="0" xfId="0" applyFont="1" applyFill="1" applyAlignment="1">
      <alignment horizontal="left" vertical="top"/>
    </xf>
    <xf numFmtId="2" fontId="5" fillId="8" borderId="0" xfId="0" applyNumberFormat="1" applyFont="1" applyFill="1" applyAlignment="1">
      <alignment horizontal="left" vertical="top"/>
    </xf>
    <xf numFmtId="0" fontId="5" fillId="8" borderId="0" xfId="0" applyFont="1" applyFill="1"/>
    <xf numFmtId="165" fontId="5" fillId="8" borderId="0" xfId="0" applyNumberFormat="1" applyFont="1" applyFill="1"/>
    <xf numFmtId="0" fontId="4" fillId="8" borderId="0" xfId="0" applyFont="1" applyFill="1" applyAlignment="1">
      <alignment horizontal="left" vertical="top" wrapText="1"/>
    </xf>
    <xf numFmtId="0" fontId="5" fillId="8" borderId="6" xfId="0" applyFont="1" applyFill="1" applyBorder="1"/>
    <xf numFmtId="0" fontId="10" fillId="0" borderId="0" xfId="0" applyFont="1"/>
    <xf numFmtId="0" fontId="8" fillId="0" borderId="0" xfId="0" applyFont="1"/>
    <xf numFmtId="0" fontId="10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8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opLeftCell="D1" zoomScale="110" zoomScaleNormal="110" workbookViewId="0">
      <pane ySplit="1" topLeftCell="A16" activePane="bottomLeft" state="frozen"/>
      <selection pane="bottomLeft" activeCell="K33" sqref="K33"/>
    </sheetView>
  </sheetViews>
  <sheetFormatPr baseColWidth="10" defaultColWidth="8.83203125" defaultRowHeight="16" x14ac:dyDescent="0.2"/>
  <cols>
    <col min="1" max="1" width="12.6640625" style="28" bestFit="1" customWidth="1"/>
    <col min="2" max="2" width="12.1640625" style="28" bestFit="1" customWidth="1"/>
    <col min="3" max="3" width="16" style="28" bestFit="1" customWidth="1"/>
    <col min="4" max="4" width="18.83203125" style="35" bestFit="1" customWidth="1"/>
    <col min="5" max="5" width="8.83203125" style="38"/>
    <col min="6" max="6" width="17" style="28" bestFit="1" customWidth="1"/>
    <col min="7" max="7" width="14" style="38" bestFit="1" customWidth="1"/>
    <col min="8" max="8" width="11.83203125" style="28" bestFit="1" customWidth="1"/>
    <col min="9" max="9" width="16.33203125" style="28" bestFit="1" customWidth="1"/>
    <col min="10" max="10" width="13.1640625" style="28" bestFit="1" customWidth="1"/>
    <col min="11" max="11" width="19.33203125" style="37" bestFit="1" customWidth="1"/>
    <col min="12" max="12" width="20.6640625" style="28" bestFit="1" customWidth="1"/>
    <col min="13" max="16384" width="8.83203125" style="28"/>
  </cols>
  <sheetData>
    <row r="1" spans="1:13" ht="19" x14ac:dyDescent="0.2">
      <c r="A1" s="27" t="s">
        <v>195</v>
      </c>
      <c r="B1" s="27" t="s">
        <v>202</v>
      </c>
      <c r="C1" s="28" t="s">
        <v>623</v>
      </c>
      <c r="D1" s="35" t="s">
        <v>625</v>
      </c>
      <c r="E1" s="38" t="s">
        <v>630</v>
      </c>
      <c r="F1" s="28" t="s">
        <v>627</v>
      </c>
      <c r="G1" s="38" t="s">
        <v>629</v>
      </c>
      <c r="H1" s="28" t="s">
        <v>628</v>
      </c>
      <c r="I1" s="28" t="s">
        <v>631</v>
      </c>
      <c r="J1" s="28" t="s">
        <v>632</v>
      </c>
      <c r="K1" s="37" t="s">
        <v>633</v>
      </c>
      <c r="L1" s="28" t="s">
        <v>639</v>
      </c>
      <c r="M1" s="28" t="s">
        <v>650</v>
      </c>
    </row>
    <row r="2" spans="1:13" s="34" customFormat="1" x14ac:dyDescent="0.2">
      <c r="A2" s="33">
        <v>49</v>
      </c>
      <c r="B2" s="33" t="s">
        <v>637</v>
      </c>
      <c r="C2" s="28" t="s">
        <v>595</v>
      </c>
      <c r="D2" s="35">
        <v>0.46899999999999997</v>
      </c>
      <c r="E2" s="39">
        <f>10/D2</f>
        <v>21.321961620469086</v>
      </c>
      <c r="F2" s="29">
        <f t="shared" ref="F2:F9" si="0">D2*E2</f>
        <v>10</v>
      </c>
      <c r="G2" s="38">
        <f t="shared" ref="G2:G9" si="1">40-E2</f>
        <v>18.678038379530914</v>
      </c>
      <c r="H2" s="28">
        <v>12</v>
      </c>
      <c r="I2" s="28">
        <v>5</v>
      </c>
      <c r="J2" s="28">
        <v>1</v>
      </c>
      <c r="K2" s="40">
        <v>25</v>
      </c>
      <c r="L2" s="28" t="s">
        <v>862</v>
      </c>
    </row>
    <row r="3" spans="1:13" x14ac:dyDescent="0.2">
      <c r="A3" s="29">
        <v>50</v>
      </c>
      <c r="B3" s="29" t="s">
        <v>637</v>
      </c>
      <c r="C3" s="28" t="s">
        <v>589</v>
      </c>
      <c r="D3" s="35">
        <v>0.68799999999999994</v>
      </c>
      <c r="E3" s="39">
        <f>10/D3</f>
        <v>14.534883720930234</v>
      </c>
      <c r="F3" s="29">
        <f>D3*E3</f>
        <v>10</v>
      </c>
      <c r="G3" s="38">
        <f>40-E3</f>
        <v>25.465116279069768</v>
      </c>
      <c r="H3" s="28">
        <v>12</v>
      </c>
      <c r="I3" s="28">
        <v>5</v>
      </c>
      <c r="J3" s="28">
        <v>2</v>
      </c>
      <c r="K3" s="37" t="s">
        <v>860</v>
      </c>
      <c r="L3" s="28" t="s">
        <v>862</v>
      </c>
    </row>
    <row r="4" spans="1:13" x14ac:dyDescent="0.2">
      <c r="A4" s="29">
        <v>51</v>
      </c>
      <c r="B4" s="29" t="s">
        <v>637</v>
      </c>
      <c r="C4" s="28" t="s">
        <v>590</v>
      </c>
      <c r="D4" s="35">
        <v>0.42399999999999999</v>
      </c>
      <c r="E4" s="39">
        <f>10/D4</f>
        <v>23.584905660377359</v>
      </c>
      <c r="F4" s="29">
        <f>D4*E4</f>
        <v>10</v>
      </c>
      <c r="G4" s="38">
        <f>40-E4</f>
        <v>16.415094339622641</v>
      </c>
      <c r="H4" s="28">
        <v>12</v>
      </c>
      <c r="I4" s="28">
        <v>5</v>
      </c>
      <c r="J4" s="28">
        <v>3</v>
      </c>
      <c r="K4" s="37" t="s">
        <v>861</v>
      </c>
      <c r="L4" s="28" t="s">
        <v>862</v>
      </c>
    </row>
    <row r="5" spans="1:13" x14ac:dyDescent="0.2">
      <c r="A5" s="29">
        <v>52</v>
      </c>
      <c r="B5" s="29" t="s">
        <v>637</v>
      </c>
      <c r="C5" s="28" t="s">
        <v>594</v>
      </c>
      <c r="D5" s="35">
        <v>0.123</v>
      </c>
      <c r="E5" s="39">
        <v>30</v>
      </c>
      <c r="F5" s="29">
        <f>D5*E5</f>
        <v>3.69</v>
      </c>
      <c r="G5" s="38">
        <f>40-E5</f>
        <v>10</v>
      </c>
      <c r="H5" s="28">
        <v>12</v>
      </c>
      <c r="I5" s="28">
        <v>5</v>
      </c>
      <c r="J5" s="28">
        <v>4</v>
      </c>
      <c r="K5" s="37">
        <v>3.1</v>
      </c>
      <c r="L5" s="28" t="s">
        <v>862</v>
      </c>
    </row>
    <row r="6" spans="1:13" x14ac:dyDescent="0.2">
      <c r="A6" s="29">
        <v>53</v>
      </c>
      <c r="B6" s="29" t="s">
        <v>637</v>
      </c>
      <c r="C6" s="28" t="s">
        <v>593</v>
      </c>
      <c r="D6" s="35">
        <v>7.0000000000000007E-2</v>
      </c>
      <c r="E6" s="39">
        <v>30</v>
      </c>
      <c r="F6" s="29">
        <f>D6*E6</f>
        <v>2.1</v>
      </c>
      <c r="G6" s="38">
        <f>40-E6</f>
        <v>10</v>
      </c>
      <c r="H6" s="28">
        <v>12</v>
      </c>
      <c r="I6" s="28">
        <v>5</v>
      </c>
      <c r="J6" s="28">
        <v>5</v>
      </c>
      <c r="K6" s="59">
        <v>8.8999999999999996E-2</v>
      </c>
      <c r="L6" s="28" t="s">
        <v>862</v>
      </c>
    </row>
    <row r="7" spans="1:13" x14ac:dyDescent="0.2">
      <c r="A7" s="29">
        <v>54</v>
      </c>
      <c r="B7" s="29" t="s">
        <v>637</v>
      </c>
      <c r="C7" s="28" t="s">
        <v>597</v>
      </c>
      <c r="D7" s="35">
        <v>0.20200000000000001</v>
      </c>
      <c r="E7" s="39">
        <v>30</v>
      </c>
      <c r="F7" s="29">
        <f>D7*E7</f>
        <v>6.0600000000000005</v>
      </c>
      <c r="G7" s="38">
        <f>40-E7</f>
        <v>10</v>
      </c>
      <c r="H7" s="28">
        <v>12</v>
      </c>
      <c r="I7" s="28">
        <v>5</v>
      </c>
      <c r="J7" s="28">
        <v>6</v>
      </c>
      <c r="K7" s="37">
        <v>1.28</v>
      </c>
      <c r="L7" s="28" t="s">
        <v>862</v>
      </c>
    </row>
    <row r="8" spans="1:13" x14ac:dyDescent="0.2">
      <c r="A8" s="29">
        <v>55</v>
      </c>
      <c r="B8" s="29" t="s">
        <v>637</v>
      </c>
      <c r="C8" s="28" t="s">
        <v>591</v>
      </c>
      <c r="D8" s="35">
        <v>0.17</v>
      </c>
      <c r="E8" s="39">
        <v>20</v>
      </c>
      <c r="F8" s="29">
        <f t="shared" si="0"/>
        <v>3.4000000000000004</v>
      </c>
      <c r="G8" s="38">
        <f t="shared" si="1"/>
        <v>20</v>
      </c>
      <c r="H8" s="28">
        <v>12</v>
      </c>
      <c r="I8" s="28">
        <v>5</v>
      </c>
      <c r="J8" s="28">
        <v>7</v>
      </c>
      <c r="K8" s="37">
        <v>9.14</v>
      </c>
      <c r="L8" s="28" t="s">
        <v>862</v>
      </c>
    </row>
    <row r="9" spans="1:13" s="32" customFormat="1" x14ac:dyDescent="0.2">
      <c r="A9" s="29">
        <v>56</v>
      </c>
      <c r="B9" s="29" t="s">
        <v>637</v>
      </c>
      <c r="C9" s="32" t="s">
        <v>592</v>
      </c>
      <c r="D9" s="36">
        <v>0.30499999999999999</v>
      </c>
      <c r="E9" s="43">
        <v>20</v>
      </c>
      <c r="F9" s="31">
        <f t="shared" si="0"/>
        <v>6.1</v>
      </c>
      <c r="G9" s="42">
        <f t="shared" si="1"/>
        <v>20</v>
      </c>
      <c r="H9" s="32">
        <v>12</v>
      </c>
      <c r="I9" s="32">
        <v>5</v>
      </c>
      <c r="J9" s="32">
        <v>8</v>
      </c>
      <c r="K9" s="41">
        <v>2.86</v>
      </c>
      <c r="L9" s="28" t="s">
        <v>862</v>
      </c>
    </row>
    <row r="10" spans="1:13" s="34" customFormat="1" x14ac:dyDescent="0.2">
      <c r="A10" s="33">
        <v>41</v>
      </c>
      <c r="B10" s="33" t="s">
        <v>636</v>
      </c>
      <c r="C10" s="28" t="s">
        <v>588</v>
      </c>
      <c r="D10" s="35">
        <v>1.65</v>
      </c>
      <c r="E10" s="39">
        <f>20/D10</f>
        <v>12.121212121212121</v>
      </c>
      <c r="F10" s="29">
        <v>20</v>
      </c>
      <c r="G10" s="38">
        <f t="shared" ref="G10:G15" si="2">40-E10</f>
        <v>27.878787878787879</v>
      </c>
      <c r="H10" s="28">
        <v>10</v>
      </c>
      <c r="I10" s="28">
        <v>4</v>
      </c>
      <c r="J10" s="28">
        <v>1</v>
      </c>
      <c r="K10" s="40">
        <v>56</v>
      </c>
      <c r="L10" s="34" t="s">
        <v>643</v>
      </c>
    </row>
    <row r="11" spans="1:13" x14ac:dyDescent="0.2">
      <c r="A11" s="29">
        <v>42</v>
      </c>
      <c r="B11" s="29" t="s">
        <v>636</v>
      </c>
      <c r="C11" s="28" t="s">
        <v>642</v>
      </c>
      <c r="D11" s="35" t="s">
        <v>624</v>
      </c>
      <c r="E11" s="39">
        <v>30</v>
      </c>
      <c r="F11" s="29">
        <v>0</v>
      </c>
      <c r="G11" s="38">
        <f>40-E11</f>
        <v>10</v>
      </c>
      <c r="H11" s="28">
        <v>10</v>
      </c>
      <c r="I11" s="28">
        <v>4</v>
      </c>
      <c r="J11" s="28">
        <v>2</v>
      </c>
      <c r="K11" s="59">
        <v>0.248</v>
      </c>
      <c r="L11" s="28" t="s">
        <v>643</v>
      </c>
    </row>
    <row r="12" spans="1:13" x14ac:dyDescent="0.2">
      <c r="A12" s="29">
        <v>43</v>
      </c>
      <c r="B12" s="29" t="s">
        <v>636</v>
      </c>
      <c r="C12" s="28" t="s">
        <v>620</v>
      </c>
      <c r="D12" s="35">
        <v>1.9</v>
      </c>
      <c r="E12" s="39">
        <f>20/D12</f>
        <v>10.526315789473685</v>
      </c>
      <c r="F12" s="29">
        <v>20</v>
      </c>
      <c r="G12" s="38">
        <f t="shared" si="2"/>
        <v>29.473684210526315</v>
      </c>
      <c r="H12" s="28">
        <v>10</v>
      </c>
      <c r="I12" s="28">
        <v>4</v>
      </c>
      <c r="J12" s="28">
        <v>3</v>
      </c>
      <c r="K12" s="37">
        <v>36.5</v>
      </c>
      <c r="L12" s="28" t="s">
        <v>643</v>
      </c>
    </row>
    <row r="13" spans="1:13" x14ac:dyDescent="0.2">
      <c r="A13" s="29">
        <v>44</v>
      </c>
      <c r="B13" s="29" t="s">
        <v>636</v>
      </c>
      <c r="C13" s="28" t="s">
        <v>621</v>
      </c>
      <c r="D13" s="35">
        <v>1.39</v>
      </c>
      <c r="E13" s="39">
        <f>20/D13</f>
        <v>14.388489208633095</v>
      </c>
      <c r="F13" s="29">
        <v>20</v>
      </c>
      <c r="G13" s="38">
        <f t="shared" si="2"/>
        <v>25.611510791366904</v>
      </c>
      <c r="H13" s="28">
        <v>10</v>
      </c>
      <c r="I13" s="28">
        <v>4</v>
      </c>
      <c r="J13" s="28">
        <v>4</v>
      </c>
      <c r="K13" s="37">
        <v>53</v>
      </c>
      <c r="L13" s="28" t="s">
        <v>643</v>
      </c>
    </row>
    <row r="14" spans="1:13" x14ac:dyDescent="0.2">
      <c r="A14" s="29">
        <v>45</v>
      </c>
      <c r="B14" s="29" t="s">
        <v>636</v>
      </c>
      <c r="C14" s="28" t="s">
        <v>622</v>
      </c>
      <c r="D14" s="35">
        <v>1.79</v>
      </c>
      <c r="E14" s="39">
        <f>20/D14</f>
        <v>11.173184357541899</v>
      </c>
      <c r="F14" s="29">
        <v>20</v>
      </c>
      <c r="G14" s="38">
        <f t="shared" si="2"/>
        <v>28.826815642458101</v>
      </c>
      <c r="H14" s="28">
        <v>10</v>
      </c>
      <c r="I14" s="28">
        <v>4</v>
      </c>
      <c r="J14" s="28">
        <v>5</v>
      </c>
      <c r="K14" s="37">
        <v>48.8</v>
      </c>
      <c r="L14" s="28" t="s">
        <v>643</v>
      </c>
    </row>
    <row r="15" spans="1:13" x14ac:dyDescent="0.2">
      <c r="A15" s="29">
        <v>46</v>
      </c>
      <c r="B15" s="29" t="s">
        <v>636</v>
      </c>
      <c r="C15" s="28" t="s">
        <v>598</v>
      </c>
      <c r="D15" s="35">
        <v>1.28</v>
      </c>
      <c r="E15" s="39">
        <f>20/D15</f>
        <v>15.625</v>
      </c>
      <c r="F15" s="29">
        <v>20</v>
      </c>
      <c r="G15" s="38">
        <f t="shared" si="2"/>
        <v>24.375</v>
      </c>
      <c r="H15" s="28">
        <v>10</v>
      </c>
      <c r="I15" s="28">
        <v>4</v>
      </c>
      <c r="J15" s="28">
        <v>6</v>
      </c>
      <c r="K15" s="37">
        <v>43.3</v>
      </c>
      <c r="L15" s="28" t="s">
        <v>643</v>
      </c>
    </row>
    <row r="16" spans="1:13" x14ac:dyDescent="0.2">
      <c r="A16" s="29">
        <v>47</v>
      </c>
      <c r="B16" s="29" t="s">
        <v>636</v>
      </c>
      <c r="C16" s="28" t="s">
        <v>605</v>
      </c>
      <c r="D16" s="35">
        <v>12.3</v>
      </c>
      <c r="E16" s="39">
        <f>20/D16</f>
        <v>1.6260162601626016</v>
      </c>
      <c r="F16" s="39">
        <f>D16*E16</f>
        <v>20</v>
      </c>
      <c r="G16" s="38">
        <f t="shared" ref="G16:G21" si="3">40-E16</f>
        <v>38.373983739837399</v>
      </c>
      <c r="H16" s="28">
        <v>10</v>
      </c>
      <c r="I16" s="28">
        <v>4</v>
      </c>
      <c r="J16" s="28">
        <v>7</v>
      </c>
      <c r="K16" s="37">
        <v>8.0500000000000007</v>
      </c>
      <c r="L16" s="28" t="s">
        <v>643</v>
      </c>
    </row>
    <row r="17" spans="1:13" s="32" customFormat="1" x14ac:dyDescent="0.2">
      <c r="A17" s="31">
        <v>48</v>
      </c>
      <c r="B17" s="31" t="s">
        <v>636</v>
      </c>
      <c r="C17" s="32" t="s">
        <v>596</v>
      </c>
      <c r="D17" s="36" t="s">
        <v>624</v>
      </c>
      <c r="E17" s="43">
        <v>30</v>
      </c>
      <c r="F17" s="31">
        <v>0</v>
      </c>
      <c r="G17" s="42">
        <f t="shared" si="3"/>
        <v>10</v>
      </c>
      <c r="H17" s="32">
        <v>10</v>
      </c>
      <c r="I17" s="32">
        <v>4</v>
      </c>
      <c r="J17" s="32">
        <v>8</v>
      </c>
      <c r="K17" s="45" t="s">
        <v>624</v>
      </c>
      <c r="L17" s="28" t="s">
        <v>643</v>
      </c>
    </row>
    <row r="18" spans="1:13" s="34" customFormat="1" x14ac:dyDescent="0.2">
      <c r="A18" s="29">
        <v>33</v>
      </c>
      <c r="B18" s="29" t="s">
        <v>635</v>
      </c>
      <c r="C18" s="28" t="s">
        <v>615</v>
      </c>
      <c r="D18" s="35">
        <v>3.77</v>
      </c>
      <c r="E18" s="39">
        <f>80/D18</f>
        <v>21.220159151193634</v>
      </c>
      <c r="F18" s="29">
        <f>D18*E18</f>
        <v>80</v>
      </c>
      <c r="G18" s="38">
        <f t="shared" si="3"/>
        <v>18.779840848806366</v>
      </c>
      <c r="H18" s="28">
        <v>7</v>
      </c>
      <c r="I18" s="28">
        <v>3</v>
      </c>
      <c r="J18" s="28">
        <v>1</v>
      </c>
      <c r="K18" s="37">
        <v>29.8</v>
      </c>
      <c r="L18" s="34" t="s">
        <v>641</v>
      </c>
    </row>
    <row r="19" spans="1:13" x14ac:dyDescent="0.2">
      <c r="A19" s="29">
        <v>34</v>
      </c>
      <c r="B19" s="29" t="s">
        <v>635</v>
      </c>
      <c r="C19" s="28" t="s">
        <v>617</v>
      </c>
      <c r="D19" s="35">
        <v>2.84</v>
      </c>
      <c r="E19" s="39">
        <f>80/D19</f>
        <v>28.169014084507044</v>
      </c>
      <c r="F19" s="29">
        <f>D19*E19</f>
        <v>80</v>
      </c>
      <c r="G19" s="38">
        <f t="shared" si="3"/>
        <v>11.830985915492956</v>
      </c>
      <c r="H19" s="28">
        <v>7</v>
      </c>
      <c r="I19" s="28">
        <v>3</v>
      </c>
      <c r="J19" s="28">
        <v>2</v>
      </c>
      <c r="K19" s="37">
        <v>54</v>
      </c>
      <c r="L19" s="28" t="s">
        <v>641</v>
      </c>
    </row>
    <row r="20" spans="1:13" x14ac:dyDescent="0.2">
      <c r="A20" s="29">
        <v>35</v>
      </c>
      <c r="B20" s="29" t="s">
        <v>635</v>
      </c>
      <c r="C20" s="28" t="s">
        <v>618</v>
      </c>
      <c r="D20" s="28">
        <v>2.9</v>
      </c>
      <c r="E20" s="39">
        <f>80/D20</f>
        <v>27.586206896551726</v>
      </c>
      <c r="F20" s="29">
        <f>D20*E20</f>
        <v>80</v>
      </c>
      <c r="G20" s="38">
        <f t="shared" si="3"/>
        <v>12.413793103448274</v>
      </c>
      <c r="H20" s="28">
        <v>7</v>
      </c>
      <c r="I20" s="28">
        <v>3</v>
      </c>
      <c r="J20" s="28">
        <v>3</v>
      </c>
      <c r="K20" s="37">
        <v>3</v>
      </c>
      <c r="L20" s="28" t="s">
        <v>641</v>
      </c>
    </row>
    <row r="21" spans="1:13" x14ac:dyDescent="0.2">
      <c r="A21" s="29">
        <v>36</v>
      </c>
      <c r="B21" s="29" t="s">
        <v>635</v>
      </c>
      <c r="C21" s="28" t="s">
        <v>612</v>
      </c>
      <c r="D21" s="35">
        <v>3.28</v>
      </c>
      <c r="E21" s="39">
        <f>80/D21</f>
        <v>24.390243902439025</v>
      </c>
      <c r="F21" s="29">
        <f>D21*E21</f>
        <v>80</v>
      </c>
      <c r="G21" s="38">
        <f t="shared" si="3"/>
        <v>15.609756097560975</v>
      </c>
      <c r="H21" s="28">
        <v>7</v>
      </c>
      <c r="I21" s="28">
        <v>3</v>
      </c>
      <c r="J21" s="28">
        <v>4</v>
      </c>
      <c r="K21" s="37" t="s">
        <v>644</v>
      </c>
      <c r="L21" s="28" t="s">
        <v>641</v>
      </c>
    </row>
    <row r="22" spans="1:13" x14ac:dyDescent="0.2">
      <c r="A22" s="29">
        <v>37</v>
      </c>
      <c r="B22" s="29" t="s">
        <v>635</v>
      </c>
      <c r="C22" s="28" t="s">
        <v>609</v>
      </c>
      <c r="D22" s="35">
        <v>2.35</v>
      </c>
      <c r="E22" s="39">
        <f t="shared" ref="E22:E25" si="4">80/D22</f>
        <v>34.042553191489361</v>
      </c>
      <c r="F22" s="29">
        <f t="shared" ref="F22:F25" si="5">D22*E22</f>
        <v>80</v>
      </c>
      <c r="G22" s="38">
        <f t="shared" ref="G22:G25" si="6">40-E22</f>
        <v>5.9574468085106389</v>
      </c>
      <c r="H22" s="28">
        <v>7</v>
      </c>
      <c r="I22" s="28">
        <v>3</v>
      </c>
      <c r="J22" s="28">
        <v>5</v>
      </c>
      <c r="K22" s="37">
        <v>43.4</v>
      </c>
      <c r="L22" s="28" t="s">
        <v>641</v>
      </c>
    </row>
    <row r="23" spans="1:13" x14ac:dyDescent="0.2">
      <c r="A23" s="29">
        <v>38</v>
      </c>
      <c r="B23" s="29" t="s">
        <v>635</v>
      </c>
      <c r="C23" s="28" t="s">
        <v>610</v>
      </c>
      <c r="D23" s="35">
        <v>3.66</v>
      </c>
      <c r="E23" s="39">
        <f t="shared" si="4"/>
        <v>21.857923497267759</v>
      </c>
      <c r="F23" s="29">
        <f t="shared" si="5"/>
        <v>80</v>
      </c>
      <c r="G23" s="38">
        <f t="shared" si="6"/>
        <v>18.142076502732241</v>
      </c>
      <c r="H23" s="28">
        <v>7</v>
      </c>
      <c r="I23" s="28">
        <v>3</v>
      </c>
      <c r="J23" s="28">
        <v>6</v>
      </c>
      <c r="K23" s="37">
        <v>30.2</v>
      </c>
      <c r="L23" s="28" t="s">
        <v>641</v>
      </c>
    </row>
    <row r="24" spans="1:13" x14ac:dyDescent="0.2">
      <c r="A24" s="29">
        <v>39</v>
      </c>
      <c r="B24" s="29" t="s">
        <v>635</v>
      </c>
      <c r="C24" s="28" t="s">
        <v>611</v>
      </c>
      <c r="D24" s="35">
        <v>4.21</v>
      </c>
      <c r="E24" s="39">
        <f t="shared" si="4"/>
        <v>19.002375296912113</v>
      </c>
      <c r="F24" s="29">
        <f t="shared" si="5"/>
        <v>80</v>
      </c>
      <c r="G24" s="38">
        <f t="shared" si="6"/>
        <v>20.997624703087887</v>
      </c>
      <c r="H24" s="28">
        <v>7</v>
      </c>
      <c r="I24" s="28">
        <v>3</v>
      </c>
      <c r="J24" s="28">
        <v>7</v>
      </c>
      <c r="K24" s="37">
        <v>52</v>
      </c>
      <c r="L24" s="28" t="s">
        <v>641</v>
      </c>
    </row>
    <row r="25" spans="1:13" s="32" customFormat="1" x14ac:dyDescent="0.2">
      <c r="A25" s="29">
        <v>40</v>
      </c>
      <c r="B25" s="29" t="s">
        <v>635</v>
      </c>
      <c r="C25" s="32" t="s">
        <v>608</v>
      </c>
      <c r="D25" s="36">
        <v>2.52</v>
      </c>
      <c r="E25" s="43">
        <f t="shared" si="4"/>
        <v>31.746031746031747</v>
      </c>
      <c r="F25" s="31">
        <f t="shared" si="5"/>
        <v>80</v>
      </c>
      <c r="G25" s="42">
        <f t="shared" si="6"/>
        <v>8.2539682539682531</v>
      </c>
      <c r="H25" s="32">
        <v>7</v>
      </c>
      <c r="I25" s="32">
        <v>3</v>
      </c>
      <c r="J25" s="32">
        <v>8</v>
      </c>
      <c r="K25" s="45">
        <v>0.35699999999999998</v>
      </c>
      <c r="L25" s="28" t="s">
        <v>641</v>
      </c>
    </row>
    <row r="26" spans="1:13" s="34" customFormat="1" x14ac:dyDescent="0.2">
      <c r="A26" s="33">
        <v>57</v>
      </c>
      <c r="B26" s="33" t="s">
        <v>638</v>
      </c>
      <c r="C26" s="28" t="s">
        <v>604</v>
      </c>
      <c r="D26" s="35">
        <v>19.100000000000001</v>
      </c>
      <c r="E26" s="39">
        <f>80/D26</f>
        <v>4.1884816753926701</v>
      </c>
      <c r="F26" s="29">
        <f>D26*E26</f>
        <v>80</v>
      </c>
      <c r="G26" s="38">
        <f>40-E26</f>
        <v>35.811518324607327</v>
      </c>
      <c r="H26" s="28">
        <v>7</v>
      </c>
      <c r="I26" s="28">
        <v>6</v>
      </c>
      <c r="J26" s="28">
        <v>1</v>
      </c>
      <c r="K26" s="37">
        <v>8.81</v>
      </c>
      <c r="L26" s="34" t="s">
        <v>937</v>
      </c>
      <c r="M26" s="34" t="s">
        <v>938</v>
      </c>
    </row>
    <row r="27" spans="1:13" x14ac:dyDescent="0.2">
      <c r="A27" s="29">
        <v>58</v>
      </c>
      <c r="B27" s="29" t="s">
        <v>638</v>
      </c>
      <c r="C27" s="28" t="s">
        <v>608</v>
      </c>
      <c r="D27" s="35">
        <v>2.52</v>
      </c>
      <c r="E27" s="39">
        <f t="shared" ref="E27:E33" si="7">80/D27</f>
        <v>31.746031746031747</v>
      </c>
      <c r="F27" s="29">
        <f t="shared" ref="F27:F33" si="8">D27*E27</f>
        <v>80</v>
      </c>
      <c r="G27" s="38">
        <f t="shared" ref="G27:G33" si="9">40-E27</f>
        <v>8.2539682539682531</v>
      </c>
      <c r="H27" s="28">
        <v>7</v>
      </c>
      <c r="I27" s="28">
        <v>6</v>
      </c>
      <c r="J27" s="28">
        <v>2</v>
      </c>
      <c r="K27" s="37" t="s">
        <v>940</v>
      </c>
      <c r="L27" s="28" t="s">
        <v>937</v>
      </c>
    </row>
    <row r="28" spans="1:13" x14ac:dyDescent="0.2">
      <c r="A28" s="29">
        <v>59</v>
      </c>
      <c r="B28" s="29" t="s">
        <v>638</v>
      </c>
      <c r="C28" s="28" t="s">
        <v>607</v>
      </c>
      <c r="D28" s="35">
        <v>6.7</v>
      </c>
      <c r="E28" s="39">
        <f t="shared" si="7"/>
        <v>11.940298507462686</v>
      </c>
      <c r="F28" s="29">
        <f t="shared" si="8"/>
        <v>80</v>
      </c>
      <c r="G28" s="38">
        <f t="shared" si="9"/>
        <v>28.059701492537314</v>
      </c>
      <c r="H28" s="28">
        <v>7</v>
      </c>
      <c r="I28" s="28">
        <v>6</v>
      </c>
      <c r="J28" s="28">
        <v>3</v>
      </c>
      <c r="K28" s="37">
        <v>51</v>
      </c>
      <c r="L28" s="28" t="s">
        <v>937</v>
      </c>
    </row>
    <row r="29" spans="1:13" x14ac:dyDescent="0.2">
      <c r="A29" s="29">
        <v>60</v>
      </c>
      <c r="B29" s="29" t="s">
        <v>638</v>
      </c>
      <c r="C29" s="28" t="s">
        <v>616</v>
      </c>
      <c r="D29" s="35">
        <v>5.16</v>
      </c>
      <c r="E29" s="39">
        <f t="shared" si="7"/>
        <v>15.503875968992247</v>
      </c>
      <c r="F29" s="29">
        <f t="shared" si="8"/>
        <v>80</v>
      </c>
      <c r="G29" s="38">
        <f t="shared" si="9"/>
        <v>24.496124031007753</v>
      </c>
      <c r="H29" s="28">
        <v>7</v>
      </c>
      <c r="I29" s="28">
        <v>6</v>
      </c>
      <c r="J29" s="28">
        <v>4</v>
      </c>
      <c r="K29" s="37" t="s">
        <v>941</v>
      </c>
      <c r="L29" s="28" t="s">
        <v>937</v>
      </c>
    </row>
    <row r="30" spans="1:13" x14ac:dyDescent="0.2">
      <c r="A30" s="29">
        <v>61</v>
      </c>
      <c r="B30" s="29" t="s">
        <v>638</v>
      </c>
      <c r="C30" s="28" t="s">
        <v>613</v>
      </c>
      <c r="D30" s="35">
        <v>5.9</v>
      </c>
      <c r="E30" s="39">
        <f t="shared" si="7"/>
        <v>13.559322033898304</v>
      </c>
      <c r="F30" s="29">
        <f t="shared" si="8"/>
        <v>80</v>
      </c>
      <c r="G30" s="38">
        <f t="shared" si="9"/>
        <v>26.440677966101696</v>
      </c>
      <c r="H30" s="28">
        <v>7</v>
      </c>
      <c r="I30" s="28">
        <v>6</v>
      </c>
      <c r="J30" s="28">
        <v>5</v>
      </c>
      <c r="K30" s="37">
        <v>56</v>
      </c>
      <c r="L30" s="28" t="s">
        <v>937</v>
      </c>
    </row>
    <row r="31" spans="1:13" x14ac:dyDescent="0.2">
      <c r="A31" s="29">
        <v>62</v>
      </c>
      <c r="B31" s="29" t="s">
        <v>638</v>
      </c>
      <c r="C31" s="28" t="s">
        <v>614</v>
      </c>
      <c r="D31" s="35">
        <v>6.1</v>
      </c>
      <c r="E31" s="39">
        <f t="shared" si="7"/>
        <v>13.114754098360656</v>
      </c>
      <c r="F31" s="29">
        <f t="shared" si="8"/>
        <v>80</v>
      </c>
      <c r="G31" s="38">
        <f t="shared" si="9"/>
        <v>26.885245901639344</v>
      </c>
      <c r="H31" s="28">
        <v>7</v>
      </c>
      <c r="I31" s="28">
        <v>6</v>
      </c>
      <c r="J31" s="28">
        <v>6</v>
      </c>
      <c r="K31" s="37" t="s">
        <v>940</v>
      </c>
      <c r="L31" s="28" t="s">
        <v>937</v>
      </c>
    </row>
    <row r="32" spans="1:13" x14ac:dyDescent="0.2">
      <c r="A32" s="29">
        <v>63</v>
      </c>
      <c r="B32" s="29" t="s">
        <v>638</v>
      </c>
      <c r="C32" s="28" t="s">
        <v>619</v>
      </c>
      <c r="D32" s="35">
        <v>10.4</v>
      </c>
      <c r="E32" s="39">
        <f t="shared" si="7"/>
        <v>7.6923076923076916</v>
      </c>
      <c r="F32" s="29">
        <f t="shared" si="8"/>
        <v>80</v>
      </c>
      <c r="G32" s="38">
        <f t="shared" si="9"/>
        <v>32.307692307692307</v>
      </c>
      <c r="H32" s="28">
        <v>7</v>
      </c>
      <c r="I32" s="28">
        <v>6</v>
      </c>
      <c r="J32" s="28">
        <v>7</v>
      </c>
      <c r="K32" s="37" t="s">
        <v>942</v>
      </c>
      <c r="L32" s="28" t="s">
        <v>937</v>
      </c>
    </row>
    <row r="33" spans="1:14" s="32" customFormat="1" x14ac:dyDescent="0.2">
      <c r="A33" s="29">
        <v>64</v>
      </c>
      <c r="B33" s="29" t="s">
        <v>638</v>
      </c>
      <c r="C33" s="32" t="s">
        <v>626</v>
      </c>
      <c r="D33" s="36">
        <v>9.58</v>
      </c>
      <c r="E33" s="43">
        <f t="shared" si="7"/>
        <v>8.3507306889352826</v>
      </c>
      <c r="F33" s="31">
        <f t="shared" si="8"/>
        <v>80.000000000000014</v>
      </c>
      <c r="G33" s="42">
        <f t="shared" si="9"/>
        <v>31.649269311064717</v>
      </c>
      <c r="H33" s="32">
        <v>7</v>
      </c>
      <c r="I33" s="32">
        <v>6</v>
      </c>
      <c r="J33" s="32">
        <v>8</v>
      </c>
      <c r="K33" s="37">
        <v>60</v>
      </c>
      <c r="L33" s="28" t="s">
        <v>937</v>
      </c>
      <c r="M33" s="28"/>
      <c r="N33" s="28"/>
    </row>
    <row r="34" spans="1:14" s="34" customFormat="1" x14ac:dyDescent="0.2">
      <c r="A34" s="33">
        <v>17</v>
      </c>
      <c r="B34" s="33" t="s">
        <v>634</v>
      </c>
      <c r="C34" s="28" t="s">
        <v>600</v>
      </c>
      <c r="D34" s="35">
        <v>17</v>
      </c>
      <c r="E34" s="39">
        <f>300/D34</f>
        <v>17.647058823529413</v>
      </c>
      <c r="F34" s="29">
        <v>300</v>
      </c>
      <c r="G34" s="38">
        <f>40-E34</f>
        <v>22.352941176470587</v>
      </c>
      <c r="H34" s="28">
        <v>4</v>
      </c>
      <c r="I34" s="28">
        <v>1</v>
      </c>
      <c r="J34" s="28">
        <v>1</v>
      </c>
      <c r="K34" s="40" t="s">
        <v>645</v>
      </c>
      <c r="L34" s="34" t="s">
        <v>640</v>
      </c>
    </row>
    <row r="35" spans="1:14" x14ac:dyDescent="0.2">
      <c r="A35" s="29">
        <v>18</v>
      </c>
      <c r="B35" s="29" t="s">
        <v>634</v>
      </c>
      <c r="C35" s="28" t="s">
        <v>601</v>
      </c>
      <c r="D35" s="35">
        <v>11.5</v>
      </c>
      <c r="E35" s="39">
        <f t="shared" ref="E35:E40" si="10">300/D35</f>
        <v>26.086956521739129</v>
      </c>
      <c r="F35" s="29">
        <v>300</v>
      </c>
      <c r="G35" s="38">
        <f t="shared" ref="G35:G41" si="11">40-E35</f>
        <v>13.913043478260871</v>
      </c>
      <c r="H35" s="28">
        <v>4</v>
      </c>
      <c r="I35" s="28">
        <v>1</v>
      </c>
      <c r="J35" s="28">
        <v>2</v>
      </c>
      <c r="K35" s="37" t="s">
        <v>646</v>
      </c>
      <c r="L35" s="28" t="s">
        <v>640</v>
      </c>
    </row>
    <row r="36" spans="1:14" x14ac:dyDescent="0.2">
      <c r="A36" s="29">
        <v>19</v>
      </c>
      <c r="B36" s="29" t="s">
        <v>634</v>
      </c>
      <c r="C36" s="28" t="s">
        <v>599</v>
      </c>
      <c r="D36" s="35">
        <v>23.3</v>
      </c>
      <c r="E36" s="39">
        <f t="shared" si="10"/>
        <v>12.875536480686694</v>
      </c>
      <c r="F36" s="29">
        <v>300</v>
      </c>
      <c r="G36" s="38">
        <f t="shared" si="11"/>
        <v>27.124463519313306</v>
      </c>
      <c r="H36" s="28">
        <v>4</v>
      </c>
      <c r="I36" s="28">
        <v>1</v>
      </c>
      <c r="J36" s="28">
        <v>3</v>
      </c>
      <c r="K36" s="37">
        <v>57</v>
      </c>
      <c r="L36" s="28" t="s">
        <v>640</v>
      </c>
    </row>
    <row r="37" spans="1:14" x14ac:dyDescent="0.2">
      <c r="A37" s="29">
        <v>20</v>
      </c>
      <c r="B37" s="29" t="s">
        <v>634</v>
      </c>
      <c r="C37" s="28" t="s">
        <v>602</v>
      </c>
      <c r="D37" s="35">
        <v>41.8</v>
      </c>
      <c r="E37" s="39">
        <f t="shared" si="10"/>
        <v>7.1770334928229671</v>
      </c>
      <c r="F37" s="29">
        <v>300</v>
      </c>
      <c r="G37" s="38">
        <f t="shared" si="11"/>
        <v>32.822966507177036</v>
      </c>
      <c r="H37" s="28">
        <v>4</v>
      </c>
      <c r="I37" s="28">
        <v>1</v>
      </c>
      <c r="J37" s="28">
        <v>4</v>
      </c>
      <c r="K37" s="37">
        <v>33.299999999999997</v>
      </c>
      <c r="L37" s="28" t="s">
        <v>640</v>
      </c>
    </row>
    <row r="38" spans="1:14" x14ac:dyDescent="0.2">
      <c r="A38" s="29">
        <v>21</v>
      </c>
      <c r="B38" s="29" t="s">
        <v>634</v>
      </c>
      <c r="C38" s="28" t="s">
        <v>603</v>
      </c>
      <c r="D38" s="35">
        <v>19.899999999999999</v>
      </c>
      <c r="E38" s="39">
        <f t="shared" si="10"/>
        <v>15.075376884422111</v>
      </c>
      <c r="F38" s="29">
        <v>300</v>
      </c>
      <c r="G38" s="38">
        <f t="shared" si="11"/>
        <v>24.924623115577887</v>
      </c>
      <c r="H38" s="28">
        <v>4</v>
      </c>
      <c r="I38" s="28">
        <v>1</v>
      </c>
      <c r="J38" s="28">
        <v>5</v>
      </c>
      <c r="K38" s="37">
        <v>33.5</v>
      </c>
      <c r="L38" s="28" t="s">
        <v>640</v>
      </c>
    </row>
    <row r="39" spans="1:14" x14ac:dyDescent="0.2">
      <c r="A39" s="29">
        <v>22</v>
      </c>
      <c r="B39" s="29" t="s">
        <v>634</v>
      </c>
      <c r="C39" s="28" t="s">
        <v>604</v>
      </c>
      <c r="D39" s="35">
        <v>19.100000000000001</v>
      </c>
      <c r="E39" s="39">
        <f t="shared" si="10"/>
        <v>15.706806282722512</v>
      </c>
      <c r="F39" s="29">
        <f>D39*E39</f>
        <v>300</v>
      </c>
      <c r="G39" s="38">
        <f t="shared" si="11"/>
        <v>24.293193717277489</v>
      </c>
      <c r="H39" s="28">
        <v>4</v>
      </c>
      <c r="I39" s="28">
        <v>1</v>
      </c>
      <c r="J39" s="28">
        <v>6</v>
      </c>
      <c r="K39" s="51">
        <v>0.35</v>
      </c>
      <c r="L39" s="28" t="s">
        <v>640</v>
      </c>
      <c r="M39" s="28" t="s">
        <v>651</v>
      </c>
    </row>
    <row r="40" spans="1:14" x14ac:dyDescent="0.2">
      <c r="A40" s="29">
        <v>23</v>
      </c>
      <c r="B40" s="29" t="s">
        <v>634</v>
      </c>
      <c r="C40" s="28" t="s">
        <v>605</v>
      </c>
      <c r="D40" s="28">
        <v>12.3</v>
      </c>
      <c r="E40" s="39">
        <f t="shared" si="10"/>
        <v>24.390243902439025</v>
      </c>
      <c r="F40" s="29">
        <f>D40*E40</f>
        <v>300</v>
      </c>
      <c r="G40" s="38">
        <f t="shared" si="11"/>
        <v>15.609756097560975</v>
      </c>
      <c r="H40" s="28">
        <v>4</v>
      </c>
      <c r="I40" s="28">
        <v>1</v>
      </c>
      <c r="J40" s="28">
        <v>7</v>
      </c>
      <c r="K40" s="51">
        <v>0.31</v>
      </c>
      <c r="L40" s="28" t="s">
        <v>640</v>
      </c>
      <c r="M40" s="28" t="s">
        <v>651</v>
      </c>
    </row>
    <row r="41" spans="1:14" s="32" customFormat="1" x14ac:dyDescent="0.2">
      <c r="A41" s="31">
        <v>24</v>
      </c>
      <c r="B41" s="31" t="s">
        <v>634</v>
      </c>
      <c r="C41" s="32" t="s">
        <v>606</v>
      </c>
      <c r="D41" s="36">
        <v>43</v>
      </c>
      <c r="E41" s="43">
        <f>300/D41</f>
        <v>6.9767441860465116</v>
      </c>
      <c r="F41" s="31">
        <v>300</v>
      </c>
      <c r="G41" s="42">
        <f t="shared" si="11"/>
        <v>33.02325581395349</v>
      </c>
      <c r="H41" s="32">
        <v>4</v>
      </c>
      <c r="I41" s="32">
        <v>1</v>
      </c>
      <c r="J41" s="32">
        <v>8</v>
      </c>
      <c r="K41" s="45">
        <v>0.13800000000000001</v>
      </c>
      <c r="L41" s="32" t="s">
        <v>640</v>
      </c>
      <c r="M41" s="32" t="s">
        <v>651</v>
      </c>
    </row>
    <row r="44" spans="1:14" x14ac:dyDescent="0.2">
      <c r="B44" s="44"/>
    </row>
    <row r="45" spans="1:14" x14ac:dyDescent="0.2">
      <c r="B45" s="44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CFB4-F898-5541-A32D-6AEEE2FA2377}">
  <dimension ref="A1:O44"/>
  <sheetViews>
    <sheetView tabSelected="1" zoomScale="114" workbookViewId="0">
      <pane ySplit="1" topLeftCell="A6" activePane="bottomLeft" state="frozen"/>
      <selection pane="bottomLeft" activeCell="F21" sqref="F21"/>
    </sheetView>
  </sheetViews>
  <sheetFormatPr baseColWidth="10" defaultRowHeight="16" x14ac:dyDescent="0.2"/>
  <cols>
    <col min="1" max="1" width="5.6640625" style="46" customWidth="1"/>
    <col min="2" max="2" width="16" style="46" bestFit="1" customWidth="1"/>
    <col min="3" max="3" width="5.5" style="46" customWidth="1"/>
    <col min="4" max="4" width="10.6640625" style="37" customWidth="1"/>
    <col min="5" max="5" width="19.1640625" style="46" bestFit="1" customWidth="1"/>
    <col min="6" max="6" width="26" style="47" customWidth="1"/>
    <col min="7" max="16384" width="10.83203125" style="46"/>
  </cols>
  <sheetData>
    <row r="1" spans="1:15" s="49" customFormat="1" ht="34" x14ac:dyDescent="0.2">
      <c r="A1" s="48" t="s">
        <v>195</v>
      </c>
      <c r="B1" s="27" t="s">
        <v>649</v>
      </c>
      <c r="C1" s="48" t="s">
        <v>863</v>
      </c>
      <c r="D1" s="41" t="s">
        <v>633</v>
      </c>
      <c r="E1" s="49" t="s">
        <v>647</v>
      </c>
      <c r="F1" s="50" t="s">
        <v>652</v>
      </c>
    </row>
    <row r="2" spans="1:15" ht="17" x14ac:dyDescent="0.2">
      <c r="A2" s="65">
        <v>17</v>
      </c>
      <c r="B2" s="30" t="s">
        <v>600</v>
      </c>
      <c r="C2" s="65" t="s">
        <v>634</v>
      </c>
      <c r="D2" s="62">
        <v>53</v>
      </c>
      <c r="E2" s="63">
        <f t="shared" ref="E2:E34" si="0">$O$9</f>
        <v>65.099999999999994</v>
      </c>
      <c r="F2" s="64">
        <f t="shared" ref="F2:F6" si="1">E2/D2</f>
        <v>1.2283018867924527</v>
      </c>
    </row>
    <row r="3" spans="1:15" ht="17" x14ac:dyDescent="0.2">
      <c r="A3" s="65">
        <v>18</v>
      </c>
      <c r="B3" s="30" t="s">
        <v>601</v>
      </c>
      <c r="C3" s="65" t="s">
        <v>634</v>
      </c>
      <c r="D3" s="62">
        <v>26</v>
      </c>
      <c r="E3" s="63">
        <f t="shared" si="0"/>
        <v>65.099999999999994</v>
      </c>
      <c r="F3" s="64">
        <f t="shared" si="1"/>
        <v>2.5038461538461538</v>
      </c>
    </row>
    <row r="4" spans="1:15" ht="17" x14ac:dyDescent="0.2">
      <c r="A4" s="27">
        <v>19</v>
      </c>
      <c r="B4" s="28" t="s">
        <v>599</v>
      </c>
      <c r="C4" s="27" t="s">
        <v>634</v>
      </c>
      <c r="D4" s="37">
        <v>57</v>
      </c>
      <c r="E4" s="46">
        <f t="shared" si="0"/>
        <v>65.099999999999994</v>
      </c>
      <c r="F4" s="47">
        <f t="shared" si="1"/>
        <v>1.1421052631578947</v>
      </c>
      <c r="K4" s="66"/>
      <c r="L4" s="46" t="s">
        <v>864</v>
      </c>
    </row>
    <row r="5" spans="1:15" ht="17" x14ac:dyDescent="0.2">
      <c r="A5" s="27">
        <v>20</v>
      </c>
      <c r="B5" s="28" t="s">
        <v>602</v>
      </c>
      <c r="C5" s="27" t="s">
        <v>634</v>
      </c>
      <c r="D5" s="37">
        <v>33.299999999999997</v>
      </c>
      <c r="E5" s="46">
        <f t="shared" si="0"/>
        <v>65.099999999999994</v>
      </c>
      <c r="F5" s="47">
        <f t="shared" si="1"/>
        <v>1.954954954954955</v>
      </c>
    </row>
    <row r="6" spans="1:15" ht="17" x14ac:dyDescent="0.2">
      <c r="A6" s="27">
        <v>21</v>
      </c>
      <c r="B6" s="28" t="s">
        <v>603</v>
      </c>
      <c r="C6" s="27" t="s">
        <v>634</v>
      </c>
      <c r="D6" s="37">
        <v>33.5</v>
      </c>
      <c r="E6" s="46">
        <f t="shared" si="0"/>
        <v>65.099999999999994</v>
      </c>
      <c r="F6" s="47">
        <f t="shared" si="1"/>
        <v>1.943283582089552</v>
      </c>
    </row>
    <row r="7" spans="1:15" ht="17" x14ac:dyDescent="0.2">
      <c r="A7" s="29">
        <v>33</v>
      </c>
      <c r="B7" s="28" t="s">
        <v>615</v>
      </c>
      <c r="C7" s="27" t="s">
        <v>635</v>
      </c>
      <c r="D7" s="37">
        <v>29.8</v>
      </c>
      <c r="E7" s="46">
        <f t="shared" si="0"/>
        <v>65.099999999999994</v>
      </c>
      <c r="F7" s="47">
        <f>E7/D7</f>
        <v>2.1845637583892614</v>
      </c>
    </row>
    <row r="8" spans="1:15" ht="17" x14ac:dyDescent="0.2">
      <c r="A8" s="29">
        <v>34</v>
      </c>
      <c r="B8" s="28" t="s">
        <v>617</v>
      </c>
      <c r="C8" s="27" t="s">
        <v>635</v>
      </c>
      <c r="D8" s="37">
        <v>54</v>
      </c>
      <c r="E8" s="46">
        <f t="shared" si="0"/>
        <v>65.099999999999994</v>
      </c>
      <c r="F8" s="47">
        <f t="shared" ref="F8:F13" si="2">E8/D8</f>
        <v>1.2055555555555555</v>
      </c>
      <c r="K8" s="52" t="s">
        <v>648</v>
      </c>
      <c r="L8" s="53"/>
      <c r="M8" s="53"/>
      <c r="N8" s="53"/>
      <c r="O8" s="54">
        <f>ROWS(A2:A34)</f>
        <v>33</v>
      </c>
    </row>
    <row r="9" spans="1:15" ht="17" x14ac:dyDescent="0.2">
      <c r="A9" s="29">
        <v>35</v>
      </c>
      <c r="B9" s="28" t="s">
        <v>618</v>
      </c>
      <c r="C9" s="27" t="s">
        <v>635</v>
      </c>
      <c r="D9" s="37">
        <v>3</v>
      </c>
      <c r="E9" s="46">
        <f t="shared" si="0"/>
        <v>65.099999999999994</v>
      </c>
      <c r="F9" s="47">
        <f t="shared" si="2"/>
        <v>21.7</v>
      </c>
      <c r="G9" s="46" t="s">
        <v>939</v>
      </c>
      <c r="K9" s="55" t="s">
        <v>653</v>
      </c>
      <c r="O9" s="56">
        <f>1.5*Samples!K22</f>
        <v>65.099999999999994</v>
      </c>
    </row>
    <row r="10" spans="1:15" ht="17" x14ac:dyDescent="0.2">
      <c r="A10" s="61">
        <v>36</v>
      </c>
      <c r="B10" s="30" t="s">
        <v>612</v>
      </c>
      <c r="C10" s="65" t="s">
        <v>635</v>
      </c>
      <c r="D10" s="62">
        <v>35.9</v>
      </c>
      <c r="E10" s="63">
        <f t="shared" si="0"/>
        <v>65.099999999999994</v>
      </c>
      <c r="F10" s="64">
        <f t="shared" si="2"/>
        <v>1.8133704735376044</v>
      </c>
      <c r="K10" s="55" t="s">
        <v>654</v>
      </c>
      <c r="O10" s="56">
        <f>O8*O9</f>
        <v>2148.2999999999997</v>
      </c>
    </row>
    <row r="11" spans="1:15" ht="17" x14ac:dyDescent="0.2">
      <c r="A11" s="29">
        <v>37</v>
      </c>
      <c r="B11" s="28" t="s">
        <v>609</v>
      </c>
      <c r="C11" s="27" t="s">
        <v>635</v>
      </c>
      <c r="D11" s="37">
        <v>43.4</v>
      </c>
      <c r="E11" s="46">
        <f t="shared" si="0"/>
        <v>65.099999999999994</v>
      </c>
      <c r="F11" s="47">
        <f t="shared" si="2"/>
        <v>1.5</v>
      </c>
      <c r="K11" s="55" t="s">
        <v>655</v>
      </c>
      <c r="O11" s="60">
        <f>SUM(F2:F34)</f>
        <v>168.48134664553143</v>
      </c>
    </row>
    <row r="12" spans="1:15" ht="17" x14ac:dyDescent="0.2">
      <c r="A12" s="29">
        <v>38</v>
      </c>
      <c r="B12" s="28" t="s">
        <v>610</v>
      </c>
      <c r="C12" s="27" t="s">
        <v>635</v>
      </c>
      <c r="D12" s="37">
        <v>30.2</v>
      </c>
      <c r="E12" s="46">
        <f t="shared" si="0"/>
        <v>65.099999999999994</v>
      </c>
      <c r="F12" s="47">
        <f t="shared" si="2"/>
        <v>2.1556291390728477</v>
      </c>
      <c r="K12" s="55" t="s">
        <v>656</v>
      </c>
      <c r="O12" s="56">
        <f>O10/O11</f>
        <v>12.750966458736922</v>
      </c>
    </row>
    <row r="13" spans="1:15" ht="17" x14ac:dyDescent="0.2">
      <c r="A13" s="29">
        <v>39</v>
      </c>
      <c r="B13" s="28" t="s">
        <v>611</v>
      </c>
      <c r="C13" s="27" t="s">
        <v>635</v>
      </c>
      <c r="D13" s="37">
        <v>52</v>
      </c>
      <c r="E13" s="46">
        <f t="shared" si="0"/>
        <v>65.099999999999994</v>
      </c>
      <c r="F13" s="47">
        <f t="shared" si="2"/>
        <v>1.2519230769230769</v>
      </c>
      <c r="K13" s="55" t="s">
        <v>657</v>
      </c>
      <c r="O13" s="56">
        <v>10</v>
      </c>
    </row>
    <row r="14" spans="1:15" x14ac:dyDescent="0.2">
      <c r="A14" s="29">
        <v>41</v>
      </c>
      <c r="B14" s="28" t="s">
        <v>588</v>
      </c>
      <c r="C14" s="29" t="s">
        <v>636</v>
      </c>
      <c r="D14" s="37">
        <v>56</v>
      </c>
      <c r="E14" s="46">
        <f t="shared" si="0"/>
        <v>65.099999999999994</v>
      </c>
      <c r="F14" s="47">
        <f t="shared" ref="F14:F23" si="3">E14/D14</f>
        <v>1.1624999999999999</v>
      </c>
      <c r="K14" s="55" t="s">
        <v>658</v>
      </c>
      <c r="O14" s="56">
        <v>40</v>
      </c>
    </row>
    <row r="15" spans="1:15" x14ac:dyDescent="0.2">
      <c r="A15" s="29">
        <v>43</v>
      </c>
      <c r="B15" s="28" t="s">
        <v>620</v>
      </c>
      <c r="C15" s="29" t="s">
        <v>636</v>
      </c>
      <c r="D15" s="37">
        <v>36.5</v>
      </c>
      <c r="E15" s="46">
        <f t="shared" si="0"/>
        <v>65.099999999999994</v>
      </c>
      <c r="F15" s="47">
        <f t="shared" si="3"/>
        <v>1.7835616438356163</v>
      </c>
      <c r="K15" s="55" t="s">
        <v>659</v>
      </c>
      <c r="O15" s="56">
        <f>(O13*O14)/O12</f>
        <v>31.370171139139124</v>
      </c>
    </row>
    <row r="16" spans="1:15" x14ac:dyDescent="0.2">
      <c r="A16" s="29">
        <v>44</v>
      </c>
      <c r="B16" s="28" t="s">
        <v>621</v>
      </c>
      <c r="C16" s="29" t="s">
        <v>636</v>
      </c>
      <c r="D16" s="37">
        <v>53</v>
      </c>
      <c r="E16" s="46">
        <f t="shared" si="0"/>
        <v>65.099999999999994</v>
      </c>
      <c r="F16" s="47">
        <f t="shared" si="3"/>
        <v>1.2283018867924527</v>
      </c>
      <c r="K16" s="57" t="s">
        <v>660</v>
      </c>
      <c r="L16" s="49"/>
      <c r="M16" s="49"/>
      <c r="N16" s="49"/>
      <c r="O16" s="58">
        <f>50-O15</f>
        <v>18.629828860860876</v>
      </c>
    </row>
    <row r="17" spans="1:15" x14ac:dyDescent="0.2">
      <c r="A17" s="29">
        <v>45</v>
      </c>
      <c r="B17" s="28" t="s">
        <v>622</v>
      </c>
      <c r="C17" s="29" t="s">
        <v>636</v>
      </c>
      <c r="D17" s="37">
        <v>48.8</v>
      </c>
      <c r="E17" s="46">
        <f t="shared" si="0"/>
        <v>65.099999999999994</v>
      </c>
      <c r="F17" s="47">
        <f t="shared" si="3"/>
        <v>1.334016393442623</v>
      </c>
    </row>
    <row r="18" spans="1:15" x14ac:dyDescent="0.2">
      <c r="A18" s="29">
        <v>46</v>
      </c>
      <c r="B18" s="28" t="s">
        <v>598</v>
      </c>
      <c r="C18" s="29" t="s">
        <v>636</v>
      </c>
      <c r="D18" s="37">
        <v>43.3</v>
      </c>
      <c r="E18" s="46">
        <f t="shared" si="0"/>
        <v>65.099999999999994</v>
      </c>
      <c r="F18" s="47">
        <f t="shared" si="3"/>
        <v>1.5034642032332564</v>
      </c>
      <c r="K18" s="46" t="s">
        <v>944</v>
      </c>
      <c r="O18" s="46">
        <v>19.899999999999999</v>
      </c>
    </row>
    <row r="19" spans="1:15" x14ac:dyDescent="0.2">
      <c r="A19" s="29">
        <v>47</v>
      </c>
      <c r="B19" s="28" t="s">
        <v>605</v>
      </c>
      <c r="C19" s="29" t="s">
        <v>636</v>
      </c>
      <c r="D19" s="37">
        <v>8.0500000000000007</v>
      </c>
      <c r="E19" s="46">
        <f t="shared" si="0"/>
        <v>65.099999999999994</v>
      </c>
      <c r="F19" s="47">
        <f t="shared" si="3"/>
        <v>8.086956521739129</v>
      </c>
      <c r="K19" s="46" t="s">
        <v>943</v>
      </c>
      <c r="O19" s="46">
        <v>9.06</v>
      </c>
    </row>
    <row r="20" spans="1:15" x14ac:dyDescent="0.2">
      <c r="A20" s="29">
        <v>49</v>
      </c>
      <c r="B20" s="28" t="s">
        <v>595</v>
      </c>
      <c r="C20" s="29" t="s">
        <v>637</v>
      </c>
      <c r="D20" s="37">
        <v>25</v>
      </c>
      <c r="E20" s="46">
        <f t="shared" si="0"/>
        <v>65.099999999999994</v>
      </c>
      <c r="F20" s="47">
        <f t="shared" si="3"/>
        <v>2.6039999999999996</v>
      </c>
    </row>
    <row r="21" spans="1:15" x14ac:dyDescent="0.2">
      <c r="A21" s="61">
        <v>50</v>
      </c>
      <c r="B21" s="30" t="s">
        <v>589</v>
      </c>
      <c r="C21" s="61" t="s">
        <v>637</v>
      </c>
      <c r="D21" s="62">
        <v>49.8</v>
      </c>
      <c r="E21" s="63">
        <f t="shared" si="0"/>
        <v>65.099999999999994</v>
      </c>
      <c r="F21" s="64">
        <f t="shared" si="3"/>
        <v>1.3072289156626506</v>
      </c>
    </row>
    <row r="22" spans="1:15" x14ac:dyDescent="0.2">
      <c r="A22" s="61">
        <v>51</v>
      </c>
      <c r="B22" s="30" t="s">
        <v>590</v>
      </c>
      <c r="C22" s="61" t="s">
        <v>637</v>
      </c>
      <c r="D22" s="62">
        <v>36.5</v>
      </c>
      <c r="E22" s="63">
        <f t="shared" si="0"/>
        <v>65.099999999999994</v>
      </c>
      <c r="F22" s="64">
        <f t="shared" si="3"/>
        <v>1.7835616438356163</v>
      </c>
    </row>
    <row r="23" spans="1:15" x14ac:dyDescent="0.2">
      <c r="A23" s="29">
        <v>52</v>
      </c>
      <c r="B23" s="28" t="s">
        <v>594</v>
      </c>
      <c r="C23" s="29" t="s">
        <v>637</v>
      </c>
      <c r="D23" s="37">
        <v>3.1</v>
      </c>
      <c r="E23" s="46">
        <f t="shared" si="0"/>
        <v>65.099999999999994</v>
      </c>
      <c r="F23" s="47">
        <f t="shared" si="3"/>
        <v>20.999999999999996</v>
      </c>
      <c r="G23" s="46" t="s">
        <v>939</v>
      </c>
    </row>
    <row r="24" spans="1:15" x14ac:dyDescent="0.2">
      <c r="A24" s="29">
        <v>54</v>
      </c>
      <c r="B24" s="28" t="s">
        <v>597</v>
      </c>
      <c r="C24" s="29" t="s">
        <v>637</v>
      </c>
      <c r="D24" s="37">
        <v>1.28</v>
      </c>
      <c r="E24" s="46">
        <f t="shared" si="0"/>
        <v>65.099999999999994</v>
      </c>
      <c r="F24" s="47">
        <v>40</v>
      </c>
      <c r="G24" s="46" t="s">
        <v>939</v>
      </c>
    </row>
    <row r="25" spans="1:15" x14ac:dyDescent="0.2">
      <c r="A25" s="29">
        <v>55</v>
      </c>
      <c r="B25" s="28" t="s">
        <v>591</v>
      </c>
      <c r="C25" s="29" t="s">
        <v>637</v>
      </c>
      <c r="D25" s="37">
        <v>9.14</v>
      </c>
      <c r="E25" s="46">
        <f t="shared" si="0"/>
        <v>65.099999999999994</v>
      </c>
      <c r="F25" s="47">
        <f t="shared" ref="F25:F34" si="4">E25/D25</f>
        <v>7.1225382932166292</v>
      </c>
    </row>
    <row r="26" spans="1:15" x14ac:dyDescent="0.2">
      <c r="A26" s="29">
        <v>56</v>
      </c>
      <c r="B26" s="28" t="s">
        <v>592</v>
      </c>
      <c r="C26" s="29" t="s">
        <v>637</v>
      </c>
      <c r="D26" s="37">
        <v>2.86</v>
      </c>
      <c r="E26" s="46">
        <f t="shared" si="0"/>
        <v>65.099999999999994</v>
      </c>
      <c r="F26" s="47">
        <f t="shared" si="4"/>
        <v>22.76223776223776</v>
      </c>
      <c r="G26" s="46" t="s">
        <v>939</v>
      </c>
    </row>
    <row r="27" spans="1:15" x14ac:dyDescent="0.2">
      <c r="A27" s="29">
        <v>57</v>
      </c>
      <c r="B27" s="46" t="s">
        <v>604</v>
      </c>
      <c r="C27" s="29" t="s">
        <v>638</v>
      </c>
      <c r="D27" s="37">
        <v>8.81</v>
      </c>
      <c r="E27" s="46">
        <f t="shared" si="0"/>
        <v>65.099999999999994</v>
      </c>
      <c r="F27" s="47">
        <f t="shared" si="4"/>
        <v>7.3893303064699198</v>
      </c>
    </row>
    <row r="28" spans="1:15" x14ac:dyDescent="0.2">
      <c r="A28" s="29">
        <v>58</v>
      </c>
      <c r="B28" s="29" t="s">
        <v>608</v>
      </c>
      <c r="C28" s="29" t="s">
        <v>638</v>
      </c>
      <c r="D28" s="37">
        <v>52</v>
      </c>
      <c r="E28" s="46">
        <f t="shared" si="0"/>
        <v>65.099999999999994</v>
      </c>
      <c r="F28" s="47">
        <f t="shared" si="4"/>
        <v>1.2519230769230769</v>
      </c>
    </row>
    <row r="29" spans="1:15" x14ac:dyDescent="0.2">
      <c r="A29" s="29">
        <v>59</v>
      </c>
      <c r="B29" s="29" t="s">
        <v>607</v>
      </c>
      <c r="C29" s="29" t="s">
        <v>638</v>
      </c>
      <c r="D29" s="37">
        <v>51</v>
      </c>
      <c r="E29" s="46">
        <f t="shared" si="0"/>
        <v>65.099999999999994</v>
      </c>
      <c r="F29" s="47">
        <f t="shared" si="4"/>
        <v>1.276470588235294</v>
      </c>
    </row>
    <row r="30" spans="1:15" x14ac:dyDescent="0.2">
      <c r="A30" s="29">
        <v>60</v>
      </c>
      <c r="B30" s="29" t="s">
        <v>616</v>
      </c>
      <c r="C30" s="29" t="s">
        <v>638</v>
      </c>
      <c r="D30" s="37">
        <v>39.700000000000003</v>
      </c>
      <c r="E30" s="46">
        <f t="shared" si="0"/>
        <v>65.099999999999994</v>
      </c>
      <c r="F30" s="47">
        <f t="shared" si="4"/>
        <v>1.6397984886649872</v>
      </c>
    </row>
    <row r="31" spans="1:15" x14ac:dyDescent="0.2">
      <c r="A31" s="29">
        <v>61</v>
      </c>
      <c r="B31" s="29" t="s">
        <v>613</v>
      </c>
      <c r="C31" s="29" t="s">
        <v>638</v>
      </c>
      <c r="D31" s="37">
        <v>56</v>
      </c>
      <c r="E31" s="46">
        <f t="shared" si="0"/>
        <v>65.099999999999994</v>
      </c>
      <c r="F31" s="47">
        <f t="shared" si="4"/>
        <v>1.1624999999999999</v>
      </c>
    </row>
    <row r="32" spans="1:15" x14ac:dyDescent="0.2">
      <c r="A32" s="29">
        <v>62</v>
      </c>
      <c r="B32" s="29" t="s">
        <v>614</v>
      </c>
      <c r="C32" s="29" t="s">
        <v>638</v>
      </c>
      <c r="D32" s="37">
        <v>52</v>
      </c>
      <c r="E32" s="46">
        <f t="shared" si="0"/>
        <v>65.099999999999994</v>
      </c>
      <c r="F32" s="47">
        <f t="shared" si="4"/>
        <v>1.2519230769230769</v>
      </c>
    </row>
    <row r="33" spans="1:6" x14ac:dyDescent="0.2">
      <c r="A33" s="29">
        <v>63</v>
      </c>
      <c r="B33" s="29" t="s">
        <v>935</v>
      </c>
      <c r="C33" s="29" t="s">
        <v>638</v>
      </c>
      <c r="D33" s="37">
        <v>56</v>
      </c>
      <c r="E33" s="46">
        <f t="shared" si="0"/>
        <v>65.099999999999994</v>
      </c>
      <c r="F33" s="47">
        <f t="shared" si="4"/>
        <v>1.1624999999999999</v>
      </c>
    </row>
    <row r="34" spans="1:6" x14ac:dyDescent="0.2">
      <c r="A34" s="29">
        <v>64</v>
      </c>
      <c r="B34" s="29" t="s">
        <v>936</v>
      </c>
      <c r="C34" s="29" t="s">
        <v>638</v>
      </c>
      <c r="D34" s="37">
        <v>60</v>
      </c>
      <c r="E34" s="46">
        <f t="shared" si="0"/>
        <v>65.099999999999994</v>
      </c>
      <c r="F34" s="47">
        <f t="shared" si="4"/>
        <v>1.085</v>
      </c>
    </row>
    <row r="35" spans="1:6" x14ac:dyDescent="0.2">
      <c r="D35" s="46"/>
      <c r="F35" s="46"/>
    </row>
    <row r="36" spans="1:6" x14ac:dyDescent="0.2">
      <c r="D36" s="46"/>
      <c r="F36" s="46"/>
    </row>
    <row r="37" spans="1:6" x14ac:dyDescent="0.2">
      <c r="A37" s="29"/>
      <c r="B37" s="29"/>
      <c r="C37" s="29"/>
    </row>
    <row r="38" spans="1:6" x14ac:dyDescent="0.2">
      <c r="A38" s="29"/>
      <c r="B38" s="29"/>
      <c r="C38" s="29"/>
    </row>
    <row r="39" spans="1:6" x14ac:dyDescent="0.2">
      <c r="A39" s="29"/>
      <c r="B39" s="29"/>
      <c r="C39" s="29"/>
    </row>
    <row r="40" spans="1:6" x14ac:dyDescent="0.2">
      <c r="A40" s="29"/>
      <c r="B40" s="29"/>
      <c r="C40" s="29"/>
    </row>
    <row r="41" spans="1:6" x14ac:dyDescent="0.2">
      <c r="A41" s="29"/>
      <c r="B41" s="29"/>
      <c r="C41" s="29"/>
    </row>
    <row r="42" spans="1:6" x14ac:dyDescent="0.2">
      <c r="A42" s="29"/>
      <c r="B42" s="29"/>
      <c r="C42" s="29"/>
    </row>
    <row r="43" spans="1:6" x14ac:dyDescent="0.2">
      <c r="A43" s="29"/>
      <c r="B43" s="29"/>
      <c r="C43" s="29"/>
    </row>
    <row r="44" spans="1:6" x14ac:dyDescent="0.2">
      <c r="A44" s="29"/>
      <c r="B44" s="29"/>
      <c r="C44" s="29"/>
    </row>
  </sheetData>
  <phoneticPr fontId="7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2F0E-CE2C-E446-8AF9-BE086D6D6C47}">
  <dimension ref="A1:O98"/>
  <sheetViews>
    <sheetView topLeftCell="B1" workbookViewId="0">
      <selection activeCell="I3" sqref="I3:I35"/>
    </sheetView>
  </sheetViews>
  <sheetFormatPr baseColWidth="10" defaultRowHeight="14" x14ac:dyDescent="0.15"/>
  <cols>
    <col min="1" max="2" width="10.83203125" style="68"/>
    <col min="3" max="3" width="15" style="68" bestFit="1" customWidth="1"/>
    <col min="4" max="6" width="11.1640625" style="68" bestFit="1" customWidth="1"/>
    <col min="7" max="8" width="10.83203125" style="68"/>
    <col min="9" max="9" width="21.83203125" style="68" bestFit="1" customWidth="1"/>
    <col min="10" max="10" width="26.83203125" style="68" bestFit="1" customWidth="1"/>
    <col min="11" max="13" width="10.83203125" style="68"/>
    <col min="14" max="14" width="22.6640625" style="68" bestFit="1" customWidth="1"/>
    <col min="15" max="15" width="26.33203125" style="68" bestFit="1" customWidth="1"/>
    <col min="16" max="16384" width="10.83203125" style="68"/>
  </cols>
  <sheetData>
    <row r="1" spans="1:15" ht="15" thickBot="1" x14ac:dyDescent="0.2">
      <c r="A1" s="67" t="s">
        <v>661</v>
      </c>
      <c r="B1" s="67"/>
      <c r="C1" s="67"/>
      <c r="D1" s="67"/>
      <c r="E1" s="67"/>
      <c r="F1" s="67"/>
      <c r="G1" s="67"/>
      <c r="H1" s="67"/>
      <c r="I1" s="67"/>
      <c r="J1" s="67"/>
    </row>
    <row r="2" spans="1:15" ht="31" thickBot="1" x14ac:dyDescent="0.2">
      <c r="A2" s="69" t="s">
        <v>195</v>
      </c>
      <c r="B2" s="69" t="s">
        <v>202</v>
      </c>
      <c r="C2" s="69" t="s">
        <v>203</v>
      </c>
      <c r="D2" s="70" t="s">
        <v>0</v>
      </c>
      <c r="E2" s="71" t="s">
        <v>146</v>
      </c>
      <c r="F2" s="72" t="s">
        <v>1</v>
      </c>
      <c r="G2" s="67"/>
      <c r="H2" s="67"/>
      <c r="I2" s="67" t="s">
        <v>870</v>
      </c>
      <c r="J2" s="67" t="s">
        <v>871</v>
      </c>
      <c r="N2" s="68" t="s">
        <v>872</v>
      </c>
      <c r="O2" s="68" t="s">
        <v>873</v>
      </c>
    </row>
    <row r="3" spans="1:15" x14ac:dyDescent="0.15">
      <c r="A3" s="73" t="s">
        <v>147</v>
      </c>
      <c r="B3" s="73" t="s">
        <v>196</v>
      </c>
      <c r="C3" s="73" t="s">
        <v>204</v>
      </c>
      <c r="D3" s="73" t="s">
        <v>2</v>
      </c>
      <c r="E3" s="73" t="s">
        <v>3</v>
      </c>
      <c r="F3" s="67" t="s">
        <v>4</v>
      </c>
      <c r="G3" s="67"/>
      <c r="H3" s="74">
        <v>17</v>
      </c>
      <c r="I3" s="68" t="s">
        <v>865</v>
      </c>
      <c r="J3" s="68" t="s">
        <v>874</v>
      </c>
      <c r="K3" s="68" t="b">
        <f>J3=O19</f>
        <v>1</v>
      </c>
      <c r="M3" s="73" t="s">
        <v>147</v>
      </c>
      <c r="N3" s="68" t="str">
        <f>_xlfn.TEXTJOIN("-",TRUE,D3,E3)</f>
        <v>CGCTACAT-AACCTACG</v>
      </c>
      <c r="O3" s="68" t="str">
        <f>_xlfn.TEXTJOIN("-",TRUE,'UDI-10 bp indices'!B3,'UDI-10 bp indices'!C3)</f>
        <v>CGCTACATAT-AACCTACGAC</v>
      </c>
    </row>
    <row r="4" spans="1:15" x14ac:dyDescent="0.15">
      <c r="A4" s="73" t="s">
        <v>148</v>
      </c>
      <c r="B4" s="73" t="s">
        <v>196</v>
      </c>
      <c r="C4" s="73" t="s">
        <v>205</v>
      </c>
      <c r="D4" s="73" t="s">
        <v>5</v>
      </c>
      <c r="E4" s="73" t="s">
        <v>6</v>
      </c>
      <c r="F4" s="67" t="s">
        <v>7</v>
      </c>
      <c r="G4" s="67"/>
      <c r="H4" s="74">
        <v>18</v>
      </c>
      <c r="I4" s="68" t="s">
        <v>866</v>
      </c>
      <c r="J4" s="68" t="s">
        <v>875</v>
      </c>
      <c r="K4" s="68" t="b">
        <f t="shared" ref="K4:K7" si="0">J4=O20</f>
        <v>1</v>
      </c>
      <c r="M4" s="73" t="s">
        <v>148</v>
      </c>
      <c r="N4" s="68" t="str">
        <f t="shared" ref="N4:N67" si="1">_xlfn.TEXTJOIN("-",TRUE,D4,E4)</f>
        <v>AATCCAGC-GCATCCTA</v>
      </c>
      <c r="O4" s="68" t="str">
        <f>_xlfn.TEXTJOIN("-",TRUE,'UDI-10 bp indices'!B4,'UDI-10 bp indices'!C4)</f>
        <v>AATCCAGCAT-GCATCCTAAC</v>
      </c>
    </row>
    <row r="5" spans="1:15" x14ac:dyDescent="0.15">
      <c r="A5" s="73" t="s">
        <v>149</v>
      </c>
      <c r="B5" s="73" t="s">
        <v>196</v>
      </c>
      <c r="C5" s="73" t="s">
        <v>206</v>
      </c>
      <c r="D5" s="73" t="s">
        <v>8</v>
      </c>
      <c r="E5" s="73" t="s">
        <v>9</v>
      </c>
      <c r="F5" s="67" t="s">
        <v>10</v>
      </c>
      <c r="G5" s="67"/>
      <c r="H5" s="74">
        <v>19</v>
      </c>
      <c r="I5" s="68" t="s">
        <v>867</v>
      </c>
      <c r="J5" s="68" t="s">
        <v>876</v>
      </c>
      <c r="K5" s="68" t="b">
        <f t="shared" si="0"/>
        <v>1</v>
      </c>
      <c r="M5" s="73" t="s">
        <v>149</v>
      </c>
      <c r="N5" s="68" t="str">
        <f t="shared" si="1"/>
        <v>CGTCTAAC-CAACGAGT</v>
      </c>
      <c r="O5" s="68" t="str">
        <f>_xlfn.TEXTJOIN("-",TRUE,'UDI-10 bp indices'!B5,'UDI-10 bp indices'!C5)</f>
        <v>CGTCTAACAT-CAACGAGTAC</v>
      </c>
    </row>
    <row r="6" spans="1:15" x14ac:dyDescent="0.15">
      <c r="A6" s="73" t="s">
        <v>150</v>
      </c>
      <c r="B6" s="73" t="s">
        <v>196</v>
      </c>
      <c r="C6" s="73" t="s">
        <v>207</v>
      </c>
      <c r="D6" s="73" t="s">
        <v>11</v>
      </c>
      <c r="E6" s="73" t="s">
        <v>12</v>
      </c>
      <c r="F6" s="67" t="s">
        <v>13</v>
      </c>
      <c r="G6" s="67"/>
      <c r="H6" s="74">
        <v>20</v>
      </c>
      <c r="I6" s="68" t="s">
        <v>868</v>
      </c>
      <c r="J6" s="68" t="s">
        <v>877</v>
      </c>
      <c r="K6" s="68" t="b">
        <f t="shared" si="0"/>
        <v>1</v>
      </c>
      <c r="M6" s="73" t="s">
        <v>150</v>
      </c>
      <c r="N6" s="68" t="str">
        <f t="shared" si="1"/>
        <v>AACTCGGA-TGCAAGAC</v>
      </c>
      <c r="O6" s="68" t="str">
        <f>_xlfn.TEXTJOIN("-",TRUE,'UDI-10 bp indices'!B6,'UDI-10 bp indices'!C6)</f>
        <v>AACTCGGAAT-TGCAAGACAC</v>
      </c>
    </row>
    <row r="7" spans="1:15" x14ac:dyDescent="0.15">
      <c r="A7" s="73" t="s">
        <v>151</v>
      </c>
      <c r="B7" s="73" t="s">
        <v>196</v>
      </c>
      <c r="C7" s="73" t="s">
        <v>208</v>
      </c>
      <c r="D7" s="73" t="s">
        <v>14</v>
      </c>
      <c r="E7" s="73" t="s">
        <v>15</v>
      </c>
      <c r="F7" s="67" t="s">
        <v>16</v>
      </c>
      <c r="G7" s="67"/>
      <c r="H7" s="74">
        <v>21</v>
      </c>
      <c r="I7" s="68" t="s">
        <v>869</v>
      </c>
      <c r="J7" s="68" t="s">
        <v>878</v>
      </c>
      <c r="K7" s="68" t="b">
        <f t="shared" si="0"/>
        <v>1</v>
      </c>
      <c r="M7" s="73" t="s">
        <v>151</v>
      </c>
      <c r="N7" s="68" t="str">
        <f t="shared" si="1"/>
        <v>GTCGAGAA-CTTACAGC</v>
      </c>
      <c r="O7" s="68" t="str">
        <f>_xlfn.TEXTJOIN("-",TRUE,'UDI-10 bp indices'!B7,'UDI-10 bp indices'!C7)</f>
        <v>GTCGAGAAAT-CTTACAGCAC</v>
      </c>
    </row>
    <row r="8" spans="1:15" x14ac:dyDescent="0.15">
      <c r="A8" s="73" t="s">
        <v>152</v>
      </c>
      <c r="B8" s="73" t="s">
        <v>196</v>
      </c>
      <c r="C8" s="73" t="s">
        <v>209</v>
      </c>
      <c r="D8" s="73" t="s">
        <v>17</v>
      </c>
      <c r="E8" s="73" t="s">
        <v>18</v>
      </c>
      <c r="F8" s="67" t="s">
        <v>19</v>
      </c>
      <c r="G8" s="67"/>
      <c r="H8" s="75">
        <v>33</v>
      </c>
      <c r="I8" s="68" t="s">
        <v>879</v>
      </c>
      <c r="J8" s="68" t="s">
        <v>880</v>
      </c>
      <c r="K8" s="68" t="b">
        <f>J8=O35</f>
        <v>1</v>
      </c>
      <c r="M8" s="73" t="s">
        <v>152</v>
      </c>
      <c r="N8" s="68" t="str">
        <f t="shared" si="1"/>
        <v>ACAACAGC-ACCGACAA</v>
      </c>
      <c r="O8" s="68" t="str">
        <f>_xlfn.TEXTJOIN("-",TRUE,'UDI-10 bp indices'!B8,'UDI-10 bp indices'!C8)</f>
        <v>ACAACAGCAT-ACCGACAAAC</v>
      </c>
    </row>
    <row r="9" spans="1:15" x14ac:dyDescent="0.15">
      <c r="A9" s="73" t="s">
        <v>153</v>
      </c>
      <c r="B9" s="73" t="s">
        <v>196</v>
      </c>
      <c r="C9" s="73" t="s">
        <v>210</v>
      </c>
      <c r="D9" s="73" t="s">
        <v>20</v>
      </c>
      <c r="E9" s="73" t="s">
        <v>21</v>
      </c>
      <c r="F9" s="67" t="s">
        <v>22</v>
      </c>
      <c r="G9" s="67"/>
      <c r="H9" s="75">
        <v>34</v>
      </c>
      <c r="I9" s="68" t="s">
        <v>881</v>
      </c>
      <c r="J9" s="68" t="s">
        <v>882</v>
      </c>
      <c r="K9" s="68" t="b">
        <f t="shared" ref="K9:K14" si="2">J9=O36</f>
        <v>1</v>
      </c>
      <c r="M9" s="73" t="s">
        <v>153</v>
      </c>
      <c r="N9" s="68" t="str">
        <f t="shared" si="1"/>
        <v>ATGACAGG-ACATGCCA</v>
      </c>
      <c r="O9" s="68" t="str">
        <f>_xlfn.TEXTJOIN("-",TRUE,'UDI-10 bp indices'!B9,'UDI-10 bp indices'!C9)</f>
        <v>ATGACAGGAT-ACATGCCAAC</v>
      </c>
    </row>
    <row r="10" spans="1:15" x14ac:dyDescent="0.15">
      <c r="A10" s="73" t="s">
        <v>154</v>
      </c>
      <c r="B10" s="73" t="s">
        <v>196</v>
      </c>
      <c r="C10" s="73" t="s">
        <v>211</v>
      </c>
      <c r="D10" s="73" t="s">
        <v>23</v>
      </c>
      <c r="E10" s="73" t="s">
        <v>24</v>
      </c>
      <c r="F10" s="67" t="s">
        <v>25</v>
      </c>
      <c r="G10" s="67"/>
      <c r="H10" s="75">
        <v>35</v>
      </c>
      <c r="I10" s="68" t="s">
        <v>883</v>
      </c>
      <c r="J10" s="68" t="s">
        <v>884</v>
      </c>
      <c r="K10" s="68" t="b">
        <f t="shared" si="2"/>
        <v>1</v>
      </c>
      <c r="M10" s="73" t="s">
        <v>154</v>
      </c>
      <c r="N10" s="68" t="str">
        <f t="shared" si="1"/>
        <v>GCACACAA-GAGCAATC</v>
      </c>
      <c r="O10" s="68" t="str">
        <f>_xlfn.TEXTJOIN("-",TRUE,'UDI-10 bp indices'!B10,'UDI-10 bp indices'!C10)</f>
        <v>GCACACAAAT-GAGCAATCAC</v>
      </c>
    </row>
    <row r="11" spans="1:15" x14ac:dyDescent="0.15">
      <c r="A11" s="73" t="s">
        <v>155</v>
      </c>
      <c r="B11" s="73" t="s">
        <v>198</v>
      </c>
      <c r="C11" s="73" t="s">
        <v>212</v>
      </c>
      <c r="D11" s="73" t="s">
        <v>26</v>
      </c>
      <c r="E11" s="73" t="s">
        <v>27</v>
      </c>
      <c r="F11" s="67" t="s">
        <v>28</v>
      </c>
      <c r="G11" s="67"/>
      <c r="H11" s="75">
        <v>36</v>
      </c>
      <c r="I11" s="68" t="s">
        <v>885</v>
      </c>
      <c r="J11" s="68" t="s">
        <v>886</v>
      </c>
      <c r="K11" s="68" t="b">
        <f t="shared" si="2"/>
        <v>1</v>
      </c>
      <c r="M11" s="73" t="s">
        <v>155</v>
      </c>
      <c r="N11" s="68" t="str">
        <f t="shared" si="1"/>
        <v>CTCCTAGT-CCTCATCT</v>
      </c>
      <c r="O11" s="68" t="str">
        <f>_xlfn.TEXTJOIN("-",TRUE,'UDI-10 bp indices'!B11,'UDI-10 bp indices'!C11)</f>
        <v>CTCCTAGTAT-CCTCATCTAC</v>
      </c>
    </row>
    <row r="12" spans="1:15" x14ac:dyDescent="0.15">
      <c r="A12" s="73" t="s">
        <v>156</v>
      </c>
      <c r="B12" s="73" t="s">
        <v>198</v>
      </c>
      <c r="C12" s="73" t="s">
        <v>213</v>
      </c>
      <c r="D12" s="73" t="s">
        <v>29</v>
      </c>
      <c r="E12" s="73" t="s">
        <v>30</v>
      </c>
      <c r="F12" s="67" t="s">
        <v>31</v>
      </c>
      <c r="G12" s="67"/>
      <c r="H12" s="75">
        <v>37</v>
      </c>
      <c r="I12" s="68" t="s">
        <v>887</v>
      </c>
      <c r="J12" s="68" t="s">
        <v>888</v>
      </c>
      <c r="K12" s="68" t="b">
        <f t="shared" si="2"/>
        <v>1</v>
      </c>
      <c r="M12" s="73" t="s">
        <v>156</v>
      </c>
      <c r="N12" s="68" t="str">
        <f t="shared" si="1"/>
        <v>TCTTCGAC-TACTGCTC</v>
      </c>
      <c r="O12" s="68" t="str">
        <f>_xlfn.TEXTJOIN("-",TRUE,'UDI-10 bp indices'!B12,'UDI-10 bp indices'!C12)</f>
        <v>TCTTCGACAT-TACTGCTCAC</v>
      </c>
    </row>
    <row r="13" spans="1:15" x14ac:dyDescent="0.15">
      <c r="A13" s="73" t="s">
        <v>157</v>
      </c>
      <c r="B13" s="73" t="s">
        <v>198</v>
      </c>
      <c r="C13" s="73" t="s">
        <v>214</v>
      </c>
      <c r="D13" s="73" t="s">
        <v>32</v>
      </c>
      <c r="E13" s="73" t="s">
        <v>33</v>
      </c>
      <c r="F13" s="67" t="s">
        <v>34</v>
      </c>
      <c r="G13" s="67"/>
      <c r="H13" s="75">
        <v>38</v>
      </c>
      <c r="I13" s="68" t="s">
        <v>889</v>
      </c>
      <c r="J13" s="68" t="s">
        <v>890</v>
      </c>
      <c r="K13" s="68" t="b">
        <f t="shared" si="2"/>
        <v>1</v>
      </c>
      <c r="M13" s="73" t="s">
        <v>157</v>
      </c>
      <c r="N13" s="68" t="str">
        <f t="shared" si="1"/>
        <v>GACTACGA-TTACCGAC</v>
      </c>
      <c r="O13" s="68" t="str">
        <f>_xlfn.TEXTJOIN("-",TRUE,'UDI-10 bp indices'!B13,'UDI-10 bp indices'!C13)</f>
        <v>GACTACGAAT-TTACCGACAC</v>
      </c>
    </row>
    <row r="14" spans="1:15" x14ac:dyDescent="0.15">
      <c r="A14" s="73" t="s">
        <v>158</v>
      </c>
      <c r="B14" s="73" t="s">
        <v>198</v>
      </c>
      <c r="C14" s="73" t="s">
        <v>215</v>
      </c>
      <c r="D14" s="73" t="s">
        <v>35</v>
      </c>
      <c r="E14" s="73" t="s">
        <v>36</v>
      </c>
      <c r="F14" s="67" t="s">
        <v>37</v>
      </c>
      <c r="G14" s="67"/>
      <c r="H14" s="75">
        <v>39</v>
      </c>
      <c r="I14" s="68" t="s">
        <v>891</v>
      </c>
      <c r="J14" s="68" t="s">
        <v>892</v>
      </c>
      <c r="K14" s="68" t="b">
        <f t="shared" si="2"/>
        <v>1</v>
      </c>
      <c r="M14" s="73" t="s">
        <v>158</v>
      </c>
      <c r="N14" s="68" t="str">
        <f t="shared" si="1"/>
        <v>ACTCCTAC-CCGTAACT</v>
      </c>
      <c r="O14" s="68" t="str">
        <f>_xlfn.TEXTJOIN("-",TRUE,'UDI-10 bp indices'!B14,'UDI-10 bp indices'!C14)</f>
        <v>ACTCCTACAT-CCGTAACTAC</v>
      </c>
    </row>
    <row r="15" spans="1:15" x14ac:dyDescent="0.15">
      <c r="A15" s="73" t="s">
        <v>159</v>
      </c>
      <c r="B15" s="73" t="s">
        <v>198</v>
      </c>
      <c r="C15" s="73" t="s">
        <v>216</v>
      </c>
      <c r="D15" s="73" t="s">
        <v>38</v>
      </c>
      <c r="E15" s="73" t="s">
        <v>39</v>
      </c>
      <c r="F15" s="67" t="s">
        <v>40</v>
      </c>
      <c r="G15" s="67"/>
      <c r="H15" s="75">
        <v>41</v>
      </c>
      <c r="I15" s="68" t="s">
        <v>893</v>
      </c>
      <c r="J15" s="68" t="s">
        <v>894</v>
      </c>
      <c r="K15" s="68" t="b">
        <f>J15=O43</f>
        <v>1</v>
      </c>
      <c r="M15" s="73" t="s">
        <v>159</v>
      </c>
      <c r="N15" s="68" t="str">
        <f t="shared" si="1"/>
        <v>CTTCCTTC-TTCCAGGT</v>
      </c>
      <c r="O15" s="68" t="str">
        <f>_xlfn.TEXTJOIN("-",TRUE,'UDI-10 bp indices'!B15,'UDI-10 bp indices'!C15)</f>
        <v>CTTCCTTCAT-TTCCAGGTAC</v>
      </c>
    </row>
    <row r="16" spans="1:15" x14ac:dyDescent="0.15">
      <c r="A16" s="73" t="s">
        <v>160</v>
      </c>
      <c r="B16" s="73" t="s">
        <v>198</v>
      </c>
      <c r="C16" s="73" t="s">
        <v>217</v>
      </c>
      <c r="D16" s="73" t="s">
        <v>41</v>
      </c>
      <c r="E16" s="73" t="s">
        <v>42</v>
      </c>
      <c r="F16" s="67" t="s">
        <v>43</v>
      </c>
      <c r="G16" s="67"/>
      <c r="H16" s="75">
        <v>43</v>
      </c>
      <c r="I16" s="68" t="s">
        <v>895</v>
      </c>
      <c r="J16" s="68" t="s">
        <v>896</v>
      </c>
      <c r="K16" s="68" t="b">
        <f>O45=J16</f>
        <v>1</v>
      </c>
      <c r="M16" s="73" t="s">
        <v>160</v>
      </c>
      <c r="N16" s="68" t="str">
        <f t="shared" si="1"/>
        <v>ACCATCCT-CCATGAAC</v>
      </c>
      <c r="O16" s="68" t="str">
        <f>_xlfn.TEXTJOIN("-",TRUE,'UDI-10 bp indices'!B16,'UDI-10 bp indices'!C16)</f>
        <v>ACCATCCTAT-CCATGAACAC</v>
      </c>
    </row>
    <row r="17" spans="1:15" x14ac:dyDescent="0.15">
      <c r="A17" s="73" t="s">
        <v>161</v>
      </c>
      <c r="B17" s="73" t="s">
        <v>198</v>
      </c>
      <c r="C17" s="73" t="s">
        <v>218</v>
      </c>
      <c r="D17" s="73" t="s">
        <v>44</v>
      </c>
      <c r="E17" s="73" t="s">
        <v>45</v>
      </c>
      <c r="F17" s="67" t="s">
        <v>46</v>
      </c>
      <c r="G17" s="67"/>
      <c r="H17" s="75">
        <v>44</v>
      </c>
      <c r="I17" s="68" t="s">
        <v>897</v>
      </c>
      <c r="J17" s="68" t="s">
        <v>898</v>
      </c>
      <c r="K17" s="68" t="b">
        <f t="shared" ref="K17:K20" si="3">O46=J17</f>
        <v>1</v>
      </c>
      <c r="M17" s="73" t="s">
        <v>161</v>
      </c>
      <c r="N17" s="68" t="str">
        <f t="shared" si="1"/>
        <v>CGTCCATT-TTCCTCCT</v>
      </c>
      <c r="O17" s="68" t="str">
        <f>_xlfn.TEXTJOIN("-",TRUE,'UDI-10 bp indices'!B17,'UDI-10 bp indices'!C17)</f>
        <v>CGTCCATTAT-TTCCTCCTAC</v>
      </c>
    </row>
    <row r="18" spans="1:15" x14ac:dyDescent="0.15">
      <c r="A18" s="73" t="s">
        <v>162</v>
      </c>
      <c r="B18" s="73" t="s">
        <v>198</v>
      </c>
      <c r="C18" s="73" t="s">
        <v>219</v>
      </c>
      <c r="D18" s="73" t="s">
        <v>47</v>
      </c>
      <c r="E18" s="73" t="s">
        <v>48</v>
      </c>
      <c r="F18" s="67" t="s">
        <v>49</v>
      </c>
      <c r="G18" s="67"/>
      <c r="H18" s="75">
        <v>45</v>
      </c>
      <c r="I18" s="68" t="s">
        <v>899</v>
      </c>
      <c r="J18" s="68" t="s">
        <v>900</v>
      </c>
      <c r="K18" s="68" t="b">
        <f t="shared" si="3"/>
        <v>1</v>
      </c>
      <c r="M18" s="73" t="s">
        <v>162</v>
      </c>
      <c r="N18" s="68" t="str">
        <f t="shared" si="1"/>
        <v>AACTTGCC-CCAACTTC</v>
      </c>
      <c r="O18" s="68" t="str">
        <f>_xlfn.TEXTJOIN("-",TRUE,'UDI-10 bp indices'!B18,'UDI-10 bp indices'!C18)</f>
        <v>AACTTGCCAT-CCAACTTCAC</v>
      </c>
    </row>
    <row r="19" spans="1:15" x14ac:dyDescent="0.15">
      <c r="A19" s="73" t="s">
        <v>163</v>
      </c>
      <c r="B19" s="73" t="s">
        <v>199</v>
      </c>
      <c r="C19" s="73" t="s">
        <v>220</v>
      </c>
      <c r="D19" s="73" t="s">
        <v>50</v>
      </c>
      <c r="E19" s="73" t="s">
        <v>51</v>
      </c>
      <c r="F19" s="67" t="s">
        <v>52</v>
      </c>
      <c r="G19" s="67"/>
      <c r="H19" s="75">
        <v>46</v>
      </c>
      <c r="I19" s="68" t="s">
        <v>901</v>
      </c>
      <c r="J19" s="68" t="s">
        <v>902</v>
      </c>
      <c r="K19" s="68" t="b">
        <f t="shared" si="3"/>
        <v>1</v>
      </c>
      <c r="M19" s="76" t="s">
        <v>163</v>
      </c>
      <c r="N19" s="68" t="str">
        <f t="shared" si="1"/>
        <v>GTACACCT-GAGACCAA</v>
      </c>
      <c r="O19" s="68" t="str">
        <f>_xlfn.TEXTJOIN("-",TRUE,'UDI-10 bp indices'!B19,'UDI-10 bp indices'!C19)</f>
        <v>GTACACCTAT-GAGACCAAAC</v>
      </c>
    </row>
    <row r="20" spans="1:15" x14ac:dyDescent="0.15">
      <c r="A20" s="73" t="s">
        <v>164</v>
      </c>
      <c r="B20" s="73" t="s">
        <v>199</v>
      </c>
      <c r="C20" s="73" t="s">
        <v>221</v>
      </c>
      <c r="D20" s="73" t="s">
        <v>53</v>
      </c>
      <c r="E20" s="73" t="s">
        <v>54</v>
      </c>
      <c r="F20" s="67" t="s">
        <v>55</v>
      </c>
      <c r="G20" s="67"/>
      <c r="H20" s="75">
        <v>47</v>
      </c>
      <c r="I20" s="68" t="s">
        <v>903</v>
      </c>
      <c r="J20" s="68" t="s">
        <v>904</v>
      </c>
      <c r="K20" s="68" t="b">
        <f t="shared" si="3"/>
        <v>1</v>
      </c>
      <c r="M20" s="76" t="s">
        <v>164</v>
      </c>
      <c r="N20" s="68" t="str">
        <f t="shared" si="1"/>
        <v>ACGAGAAC-ACAGTTCG</v>
      </c>
      <c r="O20" s="68" t="str">
        <f>_xlfn.TEXTJOIN("-",TRUE,'UDI-10 bp indices'!B20,'UDI-10 bp indices'!C20)</f>
        <v>ACGAGAACAT-ACAGTTCGAC</v>
      </c>
    </row>
    <row r="21" spans="1:15" x14ac:dyDescent="0.15">
      <c r="A21" s="73" t="s">
        <v>165</v>
      </c>
      <c r="B21" s="73" t="s">
        <v>199</v>
      </c>
      <c r="C21" s="73" t="s">
        <v>222</v>
      </c>
      <c r="D21" s="73" t="s">
        <v>56</v>
      </c>
      <c r="E21" s="73" t="s">
        <v>57</v>
      </c>
      <c r="F21" s="67" t="s">
        <v>58</v>
      </c>
      <c r="G21" s="67"/>
      <c r="H21" s="75">
        <v>49</v>
      </c>
      <c r="I21" s="68" t="s">
        <v>905</v>
      </c>
      <c r="J21" s="68" t="s">
        <v>906</v>
      </c>
      <c r="K21" s="68" t="b">
        <f>O51=J21</f>
        <v>1</v>
      </c>
      <c r="M21" s="76" t="s">
        <v>165</v>
      </c>
      <c r="N21" s="68" t="str">
        <f t="shared" si="1"/>
        <v>CGACCTAA-CTAACCTG</v>
      </c>
      <c r="O21" s="68" t="str">
        <f>_xlfn.TEXTJOIN("-",TRUE,'UDI-10 bp indices'!B21,'UDI-10 bp indices'!C21)</f>
        <v>CGACCTAAAT-CTAACCTGAC</v>
      </c>
    </row>
    <row r="22" spans="1:15" x14ac:dyDescent="0.15">
      <c r="A22" s="73" t="s">
        <v>166</v>
      </c>
      <c r="B22" s="73" t="s">
        <v>199</v>
      </c>
      <c r="C22" s="73" t="s">
        <v>223</v>
      </c>
      <c r="D22" s="73" t="s">
        <v>59</v>
      </c>
      <c r="E22" s="73" t="s">
        <v>60</v>
      </c>
      <c r="F22" s="67" t="s">
        <v>61</v>
      </c>
      <c r="G22" s="67"/>
      <c r="H22" s="75">
        <v>50</v>
      </c>
      <c r="I22" s="68" t="s">
        <v>907</v>
      </c>
      <c r="J22" s="68" t="s">
        <v>908</v>
      </c>
      <c r="K22" s="68" t="b">
        <f t="shared" ref="K22:K24" si="4">O52=J22</f>
        <v>1</v>
      </c>
      <c r="M22" s="76" t="s">
        <v>166</v>
      </c>
      <c r="N22" s="68" t="str">
        <f t="shared" si="1"/>
        <v>TACATCGG-TCCGATCA</v>
      </c>
      <c r="O22" s="68" t="str">
        <f>_xlfn.TEXTJOIN("-",TRUE,'UDI-10 bp indices'!B22,'UDI-10 bp indices'!C22)</f>
        <v>TACATCGGAT-TCCGATCAAC</v>
      </c>
    </row>
    <row r="23" spans="1:15" x14ac:dyDescent="0.15">
      <c r="A23" s="73" t="s">
        <v>167</v>
      </c>
      <c r="B23" s="73" t="s">
        <v>199</v>
      </c>
      <c r="C23" s="73" t="s">
        <v>224</v>
      </c>
      <c r="D23" s="73" t="s">
        <v>62</v>
      </c>
      <c r="E23" s="73" t="s">
        <v>63</v>
      </c>
      <c r="F23" s="67" t="s">
        <v>64</v>
      </c>
      <c r="G23" s="67"/>
      <c r="H23" s="75">
        <v>51</v>
      </c>
      <c r="I23" s="68" t="s">
        <v>909</v>
      </c>
      <c r="J23" s="68" t="s">
        <v>910</v>
      </c>
      <c r="K23" s="68" t="b">
        <f t="shared" si="4"/>
        <v>1</v>
      </c>
      <c r="M23" s="76" t="s">
        <v>167</v>
      </c>
      <c r="N23" s="68" t="str">
        <f t="shared" si="1"/>
        <v>ATCGTCTC-AGAAGGAC</v>
      </c>
      <c r="O23" s="68" t="str">
        <f>_xlfn.TEXTJOIN("-",TRUE,'UDI-10 bp indices'!B23,'UDI-10 bp indices'!C23)</f>
        <v>ATCGTCTCAT-AGAAGGACAC</v>
      </c>
    </row>
    <row r="24" spans="1:15" x14ac:dyDescent="0.15">
      <c r="A24" s="73" t="s">
        <v>168</v>
      </c>
      <c r="B24" s="73" t="s">
        <v>199</v>
      </c>
      <c r="C24" s="73" t="s">
        <v>225</v>
      </c>
      <c r="D24" s="73" t="s">
        <v>65</v>
      </c>
      <c r="E24" s="73" t="s">
        <v>66</v>
      </c>
      <c r="F24" s="67" t="s">
        <v>67</v>
      </c>
      <c r="G24" s="67"/>
      <c r="H24" s="75">
        <v>52</v>
      </c>
      <c r="I24" s="68" t="s">
        <v>911</v>
      </c>
      <c r="J24" s="68" t="s">
        <v>912</v>
      </c>
      <c r="K24" s="68" t="b">
        <f t="shared" si="4"/>
        <v>1</v>
      </c>
      <c r="M24" s="73" t="s">
        <v>168</v>
      </c>
      <c r="N24" s="68" t="str">
        <f t="shared" si="1"/>
        <v>CCAACACT-GACGAACT</v>
      </c>
      <c r="O24" s="68" t="str">
        <f>_xlfn.TEXTJOIN("-",TRUE,'UDI-10 bp indices'!B24,'UDI-10 bp indices'!C24)</f>
        <v>CCAACACTAT-GACGAACTAC</v>
      </c>
    </row>
    <row r="25" spans="1:15" x14ac:dyDescent="0.15">
      <c r="A25" s="73" t="s">
        <v>169</v>
      </c>
      <c r="B25" s="73" t="s">
        <v>199</v>
      </c>
      <c r="C25" s="73" t="s">
        <v>226</v>
      </c>
      <c r="D25" s="73" t="s">
        <v>68</v>
      </c>
      <c r="E25" s="73" t="s">
        <v>69</v>
      </c>
      <c r="F25" s="67" t="s">
        <v>70</v>
      </c>
      <c r="G25" s="67"/>
      <c r="H25" s="75">
        <v>54</v>
      </c>
      <c r="I25" s="68" t="s">
        <v>913</v>
      </c>
      <c r="J25" s="68" t="s">
        <v>914</v>
      </c>
      <c r="K25" s="68" t="b">
        <f>J25=O56</f>
        <v>1</v>
      </c>
      <c r="M25" s="73" t="s">
        <v>169</v>
      </c>
      <c r="N25" s="68" t="str">
        <f t="shared" si="1"/>
        <v>TCTAGGAG-TTGCAACG</v>
      </c>
      <c r="O25" s="68" t="str">
        <f>_xlfn.TEXTJOIN("-",TRUE,'UDI-10 bp indices'!B25,'UDI-10 bp indices'!C25)</f>
        <v>TCTAGGAGAT-TTGCAACGAC</v>
      </c>
    </row>
    <row r="26" spans="1:15" x14ac:dyDescent="0.15">
      <c r="A26" s="73" t="s">
        <v>170</v>
      </c>
      <c r="B26" s="73" t="s">
        <v>199</v>
      </c>
      <c r="C26" s="73" t="s">
        <v>227</v>
      </c>
      <c r="D26" s="73" t="s">
        <v>71</v>
      </c>
      <c r="E26" s="73" t="s">
        <v>72</v>
      </c>
      <c r="F26" s="67" t="s">
        <v>73</v>
      </c>
      <c r="G26" s="67"/>
      <c r="H26" s="75">
        <v>55</v>
      </c>
      <c r="I26" s="68" t="s">
        <v>915</v>
      </c>
      <c r="J26" s="68" t="s">
        <v>916</v>
      </c>
      <c r="K26" s="68" t="b">
        <f t="shared" ref="K26:K35" si="5">J26=O57</f>
        <v>1</v>
      </c>
      <c r="M26" s="73" t="s">
        <v>170</v>
      </c>
      <c r="N26" s="68" t="str">
        <f t="shared" si="1"/>
        <v>CTCGAACA-CCAACGAA</v>
      </c>
      <c r="O26" s="68" t="str">
        <f>_xlfn.TEXTJOIN("-",TRUE,'UDI-10 bp indices'!B26,'UDI-10 bp indices'!C26)</f>
        <v>CTCGAACAAT-CCAACGAAAC</v>
      </c>
    </row>
    <row r="27" spans="1:15" x14ac:dyDescent="0.15">
      <c r="A27" s="73" t="s">
        <v>171</v>
      </c>
      <c r="B27" s="73" t="s">
        <v>200</v>
      </c>
      <c r="C27" s="73" t="s">
        <v>228</v>
      </c>
      <c r="D27" s="73" t="s">
        <v>74</v>
      </c>
      <c r="E27" s="73" t="s">
        <v>75</v>
      </c>
      <c r="F27" s="67" t="s">
        <v>76</v>
      </c>
      <c r="G27" s="67"/>
      <c r="H27" s="75">
        <v>56</v>
      </c>
      <c r="I27" s="68" t="s">
        <v>917</v>
      </c>
      <c r="J27" s="68" t="s">
        <v>918</v>
      </c>
      <c r="K27" s="68" t="b">
        <f t="shared" si="5"/>
        <v>1</v>
      </c>
      <c r="M27" s="73" t="s">
        <v>171</v>
      </c>
      <c r="N27" s="68" t="str">
        <f t="shared" si="1"/>
        <v>ACGGACTT-ATCGGAGA</v>
      </c>
      <c r="O27" s="68" t="str">
        <f>_xlfn.TEXTJOIN("-",TRUE,'UDI-10 bp indices'!B27,'UDI-10 bp indices'!C27)</f>
        <v>ACGGACTTAT-ATCGGAGAAC</v>
      </c>
    </row>
    <row r="28" spans="1:15" x14ac:dyDescent="0.15">
      <c r="A28" s="73" t="s">
        <v>172</v>
      </c>
      <c r="B28" s="73" t="s">
        <v>200</v>
      </c>
      <c r="C28" s="73" t="s">
        <v>229</v>
      </c>
      <c r="D28" s="73" t="s">
        <v>77</v>
      </c>
      <c r="E28" s="73" t="s">
        <v>78</v>
      </c>
      <c r="F28" s="67" t="s">
        <v>79</v>
      </c>
      <c r="G28" s="67"/>
      <c r="H28" s="75">
        <v>57</v>
      </c>
      <c r="I28" s="68" t="s">
        <v>919</v>
      </c>
      <c r="J28" s="68" t="s">
        <v>920</v>
      </c>
      <c r="K28" s="68" t="b">
        <f t="shared" si="5"/>
        <v>1</v>
      </c>
      <c r="M28" s="73" t="s">
        <v>172</v>
      </c>
      <c r="N28" s="68" t="str">
        <f t="shared" si="1"/>
        <v>CTAAGACC-CCTAACAG</v>
      </c>
      <c r="O28" s="68" t="str">
        <f>_xlfn.TEXTJOIN("-",TRUE,'UDI-10 bp indices'!B28,'UDI-10 bp indices'!C28)</f>
        <v>CTAAGACCAT-CCTAACAGAC</v>
      </c>
    </row>
    <row r="29" spans="1:15" x14ac:dyDescent="0.15">
      <c r="A29" s="73" t="s">
        <v>173</v>
      </c>
      <c r="B29" s="73" t="s">
        <v>200</v>
      </c>
      <c r="C29" s="73" t="s">
        <v>230</v>
      </c>
      <c r="D29" s="73" t="s">
        <v>80</v>
      </c>
      <c r="E29" s="73" t="s">
        <v>81</v>
      </c>
      <c r="F29" s="67" t="s">
        <v>82</v>
      </c>
      <c r="G29" s="67"/>
      <c r="H29" s="75">
        <v>58</v>
      </c>
      <c r="I29" s="68" t="s">
        <v>921</v>
      </c>
      <c r="J29" s="68" t="s">
        <v>922</v>
      </c>
      <c r="K29" s="68" t="b">
        <f t="shared" si="5"/>
        <v>1</v>
      </c>
      <c r="M29" s="73" t="s">
        <v>173</v>
      </c>
      <c r="N29" s="68" t="str">
        <f t="shared" si="1"/>
        <v>AACCGAAC-CATACTCG</v>
      </c>
      <c r="O29" s="68" t="str">
        <f>_xlfn.TEXTJOIN("-",TRUE,'UDI-10 bp indices'!B29,'UDI-10 bp indices'!C29)</f>
        <v>AACCGAACAT-CATACTCGAC</v>
      </c>
    </row>
    <row r="30" spans="1:15" x14ac:dyDescent="0.15">
      <c r="A30" s="73" t="s">
        <v>174</v>
      </c>
      <c r="B30" s="73" t="s">
        <v>200</v>
      </c>
      <c r="C30" s="73" t="s">
        <v>231</v>
      </c>
      <c r="D30" s="73" t="s">
        <v>83</v>
      </c>
      <c r="E30" s="73" t="s">
        <v>84</v>
      </c>
      <c r="F30" s="67" t="s">
        <v>85</v>
      </c>
      <c r="G30" s="67"/>
      <c r="H30" s="75">
        <v>59</v>
      </c>
      <c r="I30" s="68" t="s">
        <v>923</v>
      </c>
      <c r="J30" s="68" t="s">
        <v>924</v>
      </c>
      <c r="K30" s="68" t="b">
        <f t="shared" si="5"/>
        <v>1</v>
      </c>
      <c r="M30" s="73" t="s">
        <v>174</v>
      </c>
      <c r="N30" s="68" t="str">
        <f t="shared" si="1"/>
        <v>CCTTAGGT-TGCCTCAA</v>
      </c>
      <c r="O30" s="68" t="str">
        <f>_xlfn.TEXTJOIN("-",TRUE,'UDI-10 bp indices'!B30,'UDI-10 bp indices'!C30)</f>
        <v>CCTTAGGTAT-TGCCTCAAAC</v>
      </c>
    </row>
    <row r="31" spans="1:15" x14ac:dyDescent="0.15">
      <c r="A31" s="73" t="s">
        <v>175</v>
      </c>
      <c r="B31" s="73" t="s">
        <v>200</v>
      </c>
      <c r="C31" s="73" t="s">
        <v>232</v>
      </c>
      <c r="D31" s="73" t="s">
        <v>86</v>
      </c>
      <c r="E31" s="73" t="s">
        <v>87</v>
      </c>
      <c r="F31" s="67" t="s">
        <v>88</v>
      </c>
      <c r="G31" s="67"/>
      <c r="H31" s="75">
        <v>60</v>
      </c>
      <c r="I31" s="68" t="s">
        <v>925</v>
      </c>
      <c r="J31" s="68" t="s">
        <v>926</v>
      </c>
      <c r="K31" s="68" t="b">
        <f t="shared" si="5"/>
        <v>1</v>
      </c>
      <c r="M31" s="73" t="s">
        <v>175</v>
      </c>
      <c r="N31" s="68" t="str">
        <f t="shared" si="1"/>
        <v>CCTATACC-TACAGAGC</v>
      </c>
      <c r="O31" s="68" t="str">
        <f>_xlfn.TEXTJOIN("-",TRUE,'UDI-10 bp indices'!B31,'UDI-10 bp indices'!C31)</f>
        <v>CCTATACCAT-TACAGAGCAC</v>
      </c>
    </row>
    <row r="32" spans="1:15" x14ac:dyDescent="0.15">
      <c r="A32" s="73" t="s">
        <v>176</v>
      </c>
      <c r="B32" s="73" t="s">
        <v>200</v>
      </c>
      <c r="C32" s="73" t="s">
        <v>233</v>
      </c>
      <c r="D32" s="73" t="s">
        <v>89</v>
      </c>
      <c r="E32" s="73" t="s">
        <v>90</v>
      </c>
      <c r="F32" s="67" t="s">
        <v>91</v>
      </c>
      <c r="G32" s="67"/>
      <c r="H32" s="75">
        <v>61</v>
      </c>
      <c r="I32" s="68" t="s">
        <v>927</v>
      </c>
      <c r="J32" s="68" t="s">
        <v>928</v>
      </c>
      <c r="K32" s="68" t="b">
        <f t="shared" si="5"/>
        <v>1</v>
      </c>
      <c r="M32" s="73" t="s">
        <v>176</v>
      </c>
      <c r="N32" s="68" t="str">
        <f t="shared" si="1"/>
        <v>AACGCCTT-CGAGAGAA</v>
      </c>
      <c r="O32" s="68" t="str">
        <f>_xlfn.TEXTJOIN("-",TRUE,'UDI-10 bp indices'!B32,'UDI-10 bp indices'!C32)</f>
        <v>AACGCCTTAT-CGAGAGAAAC</v>
      </c>
    </row>
    <row r="33" spans="1:15" x14ac:dyDescent="0.15">
      <c r="A33" s="73" t="s">
        <v>177</v>
      </c>
      <c r="B33" s="73" t="s">
        <v>200</v>
      </c>
      <c r="C33" s="73" t="s">
        <v>234</v>
      </c>
      <c r="D33" s="73" t="s">
        <v>92</v>
      </c>
      <c r="E33" s="73" t="s">
        <v>93</v>
      </c>
      <c r="F33" s="67" t="s">
        <v>94</v>
      </c>
      <c r="G33" s="67"/>
      <c r="H33" s="75">
        <v>62</v>
      </c>
      <c r="I33" s="68" t="s">
        <v>929</v>
      </c>
      <c r="J33" s="68" t="s">
        <v>930</v>
      </c>
      <c r="K33" s="68" t="b">
        <f t="shared" si="5"/>
        <v>1</v>
      </c>
      <c r="M33" s="73" t="s">
        <v>177</v>
      </c>
      <c r="N33" s="68" t="str">
        <f t="shared" si="1"/>
        <v>TCCATTGC-AGGTAGGA</v>
      </c>
      <c r="O33" s="68" t="str">
        <f>_xlfn.TEXTJOIN("-",TRUE,'UDI-10 bp indices'!B33,'UDI-10 bp indices'!C33)</f>
        <v>TCCATTGCAT-AGGTAGGAAC</v>
      </c>
    </row>
    <row r="34" spans="1:15" x14ac:dyDescent="0.15">
      <c r="A34" s="73" t="s">
        <v>178</v>
      </c>
      <c r="B34" s="73" t="s">
        <v>200</v>
      </c>
      <c r="C34" s="73" t="s">
        <v>235</v>
      </c>
      <c r="D34" s="73" t="s">
        <v>95</v>
      </c>
      <c r="E34" s="73" t="s">
        <v>96</v>
      </c>
      <c r="F34" s="67" t="s">
        <v>97</v>
      </c>
      <c r="G34" s="67"/>
      <c r="H34" s="75">
        <v>63</v>
      </c>
      <c r="I34" s="68" t="s">
        <v>931</v>
      </c>
      <c r="J34" s="68" t="s">
        <v>932</v>
      </c>
      <c r="K34" s="68" t="b">
        <f t="shared" si="5"/>
        <v>1</v>
      </c>
      <c r="M34" s="73" t="s">
        <v>178</v>
      </c>
      <c r="N34" s="68" t="str">
        <f t="shared" si="1"/>
        <v>CAAGCCAA-GAACGAAG</v>
      </c>
      <c r="O34" s="68" t="str">
        <f>_xlfn.TEXTJOIN("-",TRUE,'UDI-10 bp indices'!B34,'UDI-10 bp indices'!C34)</f>
        <v>CAAGCCAAAT-GAACGAAGAC</v>
      </c>
    </row>
    <row r="35" spans="1:15" x14ac:dyDescent="0.15">
      <c r="A35" s="73" t="s">
        <v>179</v>
      </c>
      <c r="B35" s="73" t="s">
        <v>201</v>
      </c>
      <c r="C35" s="73" t="s">
        <v>236</v>
      </c>
      <c r="D35" s="73" t="s">
        <v>98</v>
      </c>
      <c r="E35" s="73" t="s">
        <v>99</v>
      </c>
      <c r="F35" s="67" t="s">
        <v>100</v>
      </c>
      <c r="G35" s="67"/>
      <c r="H35" s="75">
        <v>64</v>
      </c>
      <c r="I35" s="68" t="s">
        <v>933</v>
      </c>
      <c r="J35" s="68" t="s">
        <v>934</v>
      </c>
      <c r="K35" s="68" t="b">
        <f t="shared" si="5"/>
        <v>1</v>
      </c>
      <c r="M35" s="76" t="s">
        <v>179</v>
      </c>
      <c r="N35" s="68" t="str">
        <f t="shared" si="1"/>
        <v>AGGTTCCT-TCGAACCT</v>
      </c>
      <c r="O35" s="68" t="str">
        <f>_xlfn.TEXTJOIN("-",TRUE,'UDI-10 bp indices'!B35,'UDI-10 bp indices'!C35)</f>
        <v>AGGTTCCTAT-TCGAACCTAC</v>
      </c>
    </row>
    <row r="36" spans="1:15" x14ac:dyDescent="0.15">
      <c r="A36" s="73" t="s">
        <v>180</v>
      </c>
      <c r="B36" s="73" t="s">
        <v>201</v>
      </c>
      <c r="C36" s="73" t="s">
        <v>237</v>
      </c>
      <c r="D36" s="73" t="s">
        <v>101</v>
      </c>
      <c r="E36" s="73" t="s">
        <v>102</v>
      </c>
      <c r="F36" s="67" t="s">
        <v>103</v>
      </c>
      <c r="G36" s="67"/>
      <c r="H36" s="67"/>
      <c r="I36" s="67"/>
      <c r="J36" s="73"/>
      <c r="M36" s="76" t="s">
        <v>180</v>
      </c>
      <c r="N36" s="68" t="str">
        <f t="shared" si="1"/>
        <v>GAACCTTC-CAAGGTAC</v>
      </c>
      <c r="O36" s="68" t="str">
        <f>_xlfn.TEXTJOIN("-",TRUE,'UDI-10 bp indices'!B36,'UDI-10 bp indices'!C36)</f>
        <v>GAACCTTCAT-CAAGGTACAC</v>
      </c>
    </row>
    <row r="37" spans="1:15" x14ac:dyDescent="0.15">
      <c r="A37" s="73" t="s">
        <v>181</v>
      </c>
      <c r="B37" s="73" t="s">
        <v>201</v>
      </c>
      <c r="C37" s="73" t="s">
        <v>238</v>
      </c>
      <c r="D37" s="73" t="s">
        <v>104</v>
      </c>
      <c r="E37" s="73" t="s">
        <v>105</v>
      </c>
      <c r="F37" s="67" t="s">
        <v>106</v>
      </c>
      <c r="G37" s="67"/>
      <c r="H37" s="67"/>
      <c r="I37" s="67"/>
      <c r="J37" s="73"/>
      <c r="M37" s="76" t="s">
        <v>181</v>
      </c>
      <c r="N37" s="68" t="str">
        <f t="shared" si="1"/>
        <v>AAGTCCTC-AGCTACCA</v>
      </c>
      <c r="O37" s="68" t="str">
        <f>_xlfn.TEXTJOIN("-",TRUE,'UDI-10 bp indices'!B37,'UDI-10 bp indices'!C37)</f>
        <v>AAGTCCTCAT-AGCTACCAAC</v>
      </c>
    </row>
    <row r="38" spans="1:15" x14ac:dyDescent="0.15">
      <c r="A38" s="73" t="s">
        <v>182</v>
      </c>
      <c r="B38" s="73" t="s">
        <v>201</v>
      </c>
      <c r="C38" s="73" t="s">
        <v>239</v>
      </c>
      <c r="D38" s="73" t="s">
        <v>107</v>
      </c>
      <c r="E38" s="73" t="s">
        <v>108</v>
      </c>
      <c r="F38" s="67" t="s">
        <v>109</v>
      </c>
      <c r="G38" s="67"/>
      <c r="H38" s="67"/>
      <c r="I38" s="67"/>
      <c r="J38" s="73"/>
      <c r="M38" s="76" t="s">
        <v>182</v>
      </c>
      <c r="N38" s="68" t="str">
        <f t="shared" si="1"/>
        <v>CCACAACA-CATCCAAG</v>
      </c>
      <c r="O38" s="68" t="str">
        <f>_xlfn.TEXTJOIN("-",TRUE,'UDI-10 bp indices'!B38,'UDI-10 bp indices'!C38)</f>
        <v>CCACAACAAT-CATCCAAGAC</v>
      </c>
    </row>
    <row r="39" spans="1:15" x14ac:dyDescent="0.15">
      <c r="A39" s="73" t="s">
        <v>183</v>
      </c>
      <c r="B39" s="73" t="s">
        <v>201</v>
      </c>
      <c r="C39" s="73" t="s">
        <v>240</v>
      </c>
      <c r="D39" s="73" t="s">
        <v>110</v>
      </c>
      <c r="E39" s="73" t="s">
        <v>111</v>
      </c>
      <c r="F39" s="67" t="s">
        <v>112</v>
      </c>
      <c r="G39" s="67"/>
      <c r="H39" s="67"/>
      <c r="I39" s="67"/>
      <c r="J39" s="73"/>
      <c r="M39" s="76" t="s">
        <v>183</v>
      </c>
      <c r="N39" s="68" t="str">
        <f t="shared" si="1"/>
        <v>ATAACGCC-CTCACCAA</v>
      </c>
      <c r="O39" s="68" t="str">
        <f>_xlfn.TEXTJOIN("-",TRUE,'UDI-10 bp indices'!B39,'UDI-10 bp indices'!C39)</f>
        <v>ATAACGCCAT-CTCACCAAAC</v>
      </c>
    </row>
    <row r="40" spans="1:15" x14ac:dyDescent="0.15">
      <c r="A40" s="73" t="s">
        <v>184</v>
      </c>
      <c r="B40" s="73" t="s">
        <v>201</v>
      </c>
      <c r="C40" s="73" t="s">
        <v>241</v>
      </c>
      <c r="D40" s="73" t="s">
        <v>113</v>
      </c>
      <c r="E40" s="73" t="s">
        <v>114</v>
      </c>
      <c r="F40" s="67" t="s">
        <v>115</v>
      </c>
      <c r="G40" s="67"/>
      <c r="H40" s="67"/>
      <c r="I40" s="67"/>
      <c r="J40" s="73"/>
      <c r="M40" s="76" t="s">
        <v>184</v>
      </c>
      <c r="N40" s="68" t="str">
        <f t="shared" si="1"/>
        <v>CCGGAATA-TCAGTAGG</v>
      </c>
      <c r="O40" s="68" t="str">
        <f>_xlfn.TEXTJOIN("-",TRUE,'UDI-10 bp indices'!B40,'UDI-10 bp indices'!C40)</f>
        <v>CCGGAATAAT-TCAGTAGGAC</v>
      </c>
    </row>
    <row r="41" spans="1:15" x14ac:dyDescent="0.15">
      <c r="A41" s="73" t="s">
        <v>185</v>
      </c>
      <c r="B41" s="73" t="s">
        <v>201</v>
      </c>
      <c r="C41" s="73" t="s">
        <v>242</v>
      </c>
      <c r="D41" s="73" t="s">
        <v>116</v>
      </c>
      <c r="E41" s="73" t="s">
        <v>117</v>
      </c>
      <c r="F41" s="67" t="s">
        <v>118</v>
      </c>
      <c r="G41" s="67"/>
      <c r="H41" s="67"/>
      <c r="I41" s="67"/>
      <c r="J41" s="73"/>
      <c r="M41" s="76" t="s">
        <v>185</v>
      </c>
      <c r="N41" s="68" t="str">
        <f t="shared" si="1"/>
        <v>CCAAGTAG-GAACGTGA</v>
      </c>
      <c r="O41" s="68" t="str">
        <f>_xlfn.TEXTJOIN("-",TRUE,'UDI-10 bp indices'!B41,'UDI-10 bp indices'!C41)</f>
        <v>CCAAGTAGAT-GAACGTGAAC</v>
      </c>
    </row>
    <row r="42" spans="1:15" x14ac:dyDescent="0.15">
      <c r="A42" s="73" t="s">
        <v>186</v>
      </c>
      <c r="B42" s="73" t="s">
        <v>201</v>
      </c>
      <c r="C42" s="73" t="s">
        <v>243</v>
      </c>
      <c r="D42" s="73" t="s">
        <v>119</v>
      </c>
      <c r="E42" s="73" t="s">
        <v>120</v>
      </c>
      <c r="F42" s="67" t="s">
        <v>121</v>
      </c>
      <c r="G42" s="67"/>
      <c r="H42" s="67"/>
      <c r="I42" s="67"/>
      <c r="J42" s="73"/>
      <c r="M42" s="73" t="s">
        <v>186</v>
      </c>
      <c r="N42" s="68" t="str">
        <f t="shared" si="1"/>
        <v>AAGGACCA-AGGAACAC</v>
      </c>
      <c r="O42" s="68" t="str">
        <f>_xlfn.TEXTJOIN("-",TRUE,'UDI-10 bp indices'!B42,'UDI-10 bp indices'!C42)</f>
        <v>AAGGACCAAT-AGGAACACAC</v>
      </c>
    </row>
    <row r="43" spans="1:15" x14ac:dyDescent="0.15">
      <c r="A43" s="73" t="s">
        <v>187</v>
      </c>
      <c r="B43" s="73" t="s">
        <v>197</v>
      </c>
      <c r="C43" s="73" t="s">
        <v>244</v>
      </c>
      <c r="D43" s="73" t="s">
        <v>122</v>
      </c>
      <c r="E43" s="73" t="s">
        <v>123</v>
      </c>
      <c r="F43" s="67" t="s">
        <v>124</v>
      </c>
      <c r="G43" s="67"/>
      <c r="H43" s="67"/>
      <c r="I43" s="67"/>
      <c r="J43" s="73"/>
      <c r="M43" s="76" t="s">
        <v>187</v>
      </c>
      <c r="N43" s="68" t="str">
        <f t="shared" si="1"/>
        <v>ACGCTTCT-CCTAAGTC</v>
      </c>
      <c r="O43" s="68" t="str">
        <f>_xlfn.TEXTJOIN("-",TRUE,'UDI-10 bp indices'!B43,'UDI-10 bp indices'!C43)</f>
        <v>ACGCTTCTAT-CCTAAGTCAC</v>
      </c>
    </row>
    <row r="44" spans="1:15" x14ac:dyDescent="0.15">
      <c r="A44" s="73" t="s">
        <v>188</v>
      </c>
      <c r="B44" s="73" t="s">
        <v>197</v>
      </c>
      <c r="C44" s="73" t="s">
        <v>245</v>
      </c>
      <c r="D44" s="73" t="s">
        <v>125</v>
      </c>
      <c r="E44" s="73" t="s">
        <v>126</v>
      </c>
      <c r="F44" s="67" t="s">
        <v>127</v>
      </c>
      <c r="G44" s="67"/>
      <c r="H44" s="67"/>
      <c r="I44" s="67"/>
      <c r="J44" s="73"/>
      <c r="M44" s="73" t="s">
        <v>188</v>
      </c>
      <c r="N44" s="68" t="str">
        <f t="shared" si="1"/>
        <v>CTATCCAC-AACGCACA</v>
      </c>
      <c r="O44" s="68" t="str">
        <f>_xlfn.TEXTJOIN("-",TRUE,'UDI-10 bp indices'!B44,'UDI-10 bp indices'!C44)</f>
        <v>CTATCCACAT-AACGCACAAC</v>
      </c>
    </row>
    <row r="45" spans="1:15" x14ac:dyDescent="0.15">
      <c r="A45" s="73" t="s">
        <v>189</v>
      </c>
      <c r="B45" s="73" t="s">
        <v>197</v>
      </c>
      <c r="C45" s="73" t="s">
        <v>246</v>
      </c>
      <c r="D45" s="73" t="s">
        <v>128</v>
      </c>
      <c r="E45" s="73" t="s">
        <v>129</v>
      </c>
      <c r="F45" s="67" t="s">
        <v>130</v>
      </c>
      <c r="G45" s="67"/>
      <c r="H45" s="67"/>
      <c r="I45" s="67"/>
      <c r="J45" s="73"/>
      <c r="M45" s="76" t="s">
        <v>189</v>
      </c>
      <c r="N45" s="68" t="str">
        <f t="shared" si="1"/>
        <v>TGACAACC-GTCAACAG</v>
      </c>
      <c r="O45" s="68" t="str">
        <f>_xlfn.TEXTJOIN("-",TRUE,'UDI-10 bp indices'!B45,'UDI-10 bp indices'!C45)</f>
        <v>TGACAACCAT-GTCAACAGAC</v>
      </c>
    </row>
    <row r="46" spans="1:15" x14ac:dyDescent="0.15">
      <c r="A46" s="73" t="s">
        <v>190</v>
      </c>
      <c r="B46" s="73" t="s">
        <v>197</v>
      </c>
      <c r="C46" s="73" t="s">
        <v>247</v>
      </c>
      <c r="D46" s="73" t="s">
        <v>131</v>
      </c>
      <c r="E46" s="73" t="s">
        <v>132</v>
      </c>
      <c r="F46" s="67" t="s">
        <v>133</v>
      </c>
      <c r="G46" s="67"/>
      <c r="H46" s="67"/>
      <c r="I46" s="67"/>
      <c r="J46" s="73"/>
      <c r="M46" s="76" t="s">
        <v>190</v>
      </c>
      <c r="N46" s="68" t="str">
        <f t="shared" si="1"/>
        <v>CAGTGCTT-ACACCTCA</v>
      </c>
      <c r="O46" s="68" t="str">
        <f>_xlfn.TEXTJOIN("-",TRUE,'UDI-10 bp indices'!B46,'UDI-10 bp indices'!C46)</f>
        <v>CAGTGCTTAT-ACACCTCAAC</v>
      </c>
    </row>
    <row r="47" spans="1:15" x14ac:dyDescent="0.15">
      <c r="A47" s="73" t="s">
        <v>191</v>
      </c>
      <c r="B47" s="73" t="s">
        <v>197</v>
      </c>
      <c r="C47" s="73" t="s">
        <v>248</v>
      </c>
      <c r="D47" s="73" t="s">
        <v>134</v>
      </c>
      <c r="E47" s="73" t="s">
        <v>135</v>
      </c>
      <c r="F47" s="67" t="s">
        <v>136</v>
      </c>
      <c r="G47" s="67"/>
      <c r="H47" s="67"/>
      <c r="I47" s="67"/>
      <c r="J47" s="73"/>
      <c r="M47" s="76" t="s">
        <v>191</v>
      </c>
      <c r="N47" s="68" t="str">
        <f t="shared" si="1"/>
        <v>TCACTCGA-TATGGCAC</v>
      </c>
      <c r="O47" s="68" t="str">
        <f>_xlfn.TEXTJOIN("-",TRUE,'UDI-10 bp indices'!B47,'UDI-10 bp indices'!C47)</f>
        <v>TCACTCGAAT-TATGGCACAC</v>
      </c>
    </row>
    <row r="48" spans="1:15" x14ac:dyDescent="0.15">
      <c r="A48" s="73" t="s">
        <v>192</v>
      </c>
      <c r="B48" s="73" t="s">
        <v>197</v>
      </c>
      <c r="C48" s="73" t="s">
        <v>249</v>
      </c>
      <c r="D48" s="73" t="s">
        <v>137</v>
      </c>
      <c r="E48" s="73" t="s">
        <v>138</v>
      </c>
      <c r="F48" s="67" t="s">
        <v>139</v>
      </c>
      <c r="G48" s="67"/>
      <c r="H48" s="67"/>
      <c r="I48" s="67"/>
      <c r="J48" s="73"/>
      <c r="M48" s="76" t="s">
        <v>192</v>
      </c>
      <c r="N48" s="68" t="str">
        <f t="shared" si="1"/>
        <v>CTGACTAC-CGCAATGT</v>
      </c>
      <c r="O48" s="68" t="str">
        <f>_xlfn.TEXTJOIN("-",TRUE,'UDI-10 bp indices'!B48,'UDI-10 bp indices'!C48)</f>
        <v>CTGACTACAT-CGCAATGTAC</v>
      </c>
    </row>
    <row r="49" spans="1:15" x14ac:dyDescent="0.15">
      <c r="A49" s="73" t="s">
        <v>193</v>
      </c>
      <c r="B49" s="73" t="s">
        <v>197</v>
      </c>
      <c r="C49" s="73" t="s">
        <v>250</v>
      </c>
      <c r="D49" s="73" t="s">
        <v>140</v>
      </c>
      <c r="E49" s="73" t="s">
        <v>141</v>
      </c>
      <c r="F49" s="67" t="s">
        <v>142</v>
      </c>
      <c r="G49" s="67"/>
      <c r="H49" s="67"/>
      <c r="I49" s="67"/>
      <c r="J49" s="73"/>
      <c r="M49" s="76" t="s">
        <v>193</v>
      </c>
      <c r="N49" s="68" t="str">
        <f t="shared" si="1"/>
        <v>GTGATCCA-ACTCAACG</v>
      </c>
      <c r="O49" s="68" t="str">
        <f>_xlfn.TEXTJOIN("-",TRUE,'UDI-10 bp indices'!B49,'UDI-10 bp indices'!C49)</f>
        <v>GTGATCCAAT-ACTCAACGAC</v>
      </c>
    </row>
    <row r="50" spans="1:15" x14ac:dyDescent="0.15">
      <c r="A50" s="73" t="s">
        <v>194</v>
      </c>
      <c r="B50" s="73" t="s">
        <v>197</v>
      </c>
      <c r="C50" s="73" t="s">
        <v>251</v>
      </c>
      <c r="D50" s="73" t="s">
        <v>143</v>
      </c>
      <c r="E50" s="73" t="s">
        <v>144</v>
      </c>
      <c r="F50" s="67" t="s">
        <v>145</v>
      </c>
      <c r="G50" s="67"/>
      <c r="H50" s="67"/>
      <c r="I50" s="67"/>
      <c r="J50" s="73"/>
      <c r="M50" s="73" t="s">
        <v>194</v>
      </c>
      <c r="N50" s="68" t="str">
        <f t="shared" si="1"/>
        <v>ACAGCAAG-GTCTGCAA</v>
      </c>
      <c r="O50" s="68" t="str">
        <f>_xlfn.TEXTJOIN("-",TRUE,'UDI-10 bp indices'!B50,'UDI-10 bp indices'!C50)</f>
        <v>ACAGCAAGAT-GTCTGCAAAC</v>
      </c>
    </row>
    <row r="51" spans="1:15" x14ac:dyDescent="0.15">
      <c r="A51" s="73" t="s">
        <v>662</v>
      </c>
      <c r="B51" s="73" t="s">
        <v>663</v>
      </c>
      <c r="C51" s="73" t="s">
        <v>252</v>
      </c>
      <c r="D51" s="73" t="s">
        <v>664</v>
      </c>
      <c r="E51" s="73" t="s">
        <v>665</v>
      </c>
      <c r="F51" s="67" t="s">
        <v>666</v>
      </c>
      <c r="G51" s="67"/>
      <c r="H51" s="67"/>
      <c r="I51" s="67"/>
      <c r="J51" s="73"/>
      <c r="M51" s="76" t="s">
        <v>662</v>
      </c>
      <c r="N51" s="68" t="str">
        <f t="shared" si="1"/>
        <v>TGCTGTGA-CACGATTC</v>
      </c>
      <c r="O51" s="68" t="str">
        <f>_xlfn.TEXTJOIN("-",TRUE,'UDI-10 bp indices'!B51,'UDI-10 bp indices'!C51)</f>
        <v>TGCTGTGAAT-CACGATTCAC</v>
      </c>
    </row>
    <row r="52" spans="1:15" x14ac:dyDescent="0.15">
      <c r="A52" s="73" t="s">
        <v>667</v>
      </c>
      <c r="B52" s="73" t="s">
        <v>663</v>
      </c>
      <c r="C52" s="73" t="s">
        <v>253</v>
      </c>
      <c r="D52" s="73" t="s">
        <v>668</v>
      </c>
      <c r="E52" s="73" t="s">
        <v>669</v>
      </c>
      <c r="F52" s="67" t="s">
        <v>670</v>
      </c>
      <c r="G52" s="67"/>
      <c r="H52" s="67"/>
      <c r="I52" s="67"/>
      <c r="J52" s="73"/>
      <c r="M52" s="76" t="s">
        <v>667</v>
      </c>
      <c r="N52" s="68" t="str">
        <f t="shared" si="1"/>
        <v>CAACACAG-AGAAGCCT</v>
      </c>
      <c r="O52" s="68" t="str">
        <f>_xlfn.TEXTJOIN("-",TRUE,'UDI-10 bp indices'!B52,'UDI-10 bp indices'!C52)</f>
        <v>CAACACAGAT-AGAAGCCTAC</v>
      </c>
    </row>
    <row r="53" spans="1:15" x14ac:dyDescent="0.15">
      <c r="A53" s="73" t="s">
        <v>671</v>
      </c>
      <c r="B53" s="73" t="s">
        <v>663</v>
      </c>
      <c r="C53" s="73" t="s">
        <v>254</v>
      </c>
      <c r="D53" s="73" t="s">
        <v>672</v>
      </c>
      <c r="E53" s="73" t="s">
        <v>673</v>
      </c>
      <c r="F53" s="67" t="s">
        <v>674</v>
      </c>
      <c r="G53" s="67"/>
      <c r="H53" s="67"/>
      <c r="I53" s="67"/>
      <c r="J53" s="73"/>
      <c r="M53" s="76" t="s">
        <v>671</v>
      </c>
      <c r="N53" s="68" t="str">
        <f t="shared" si="1"/>
        <v>CCACATTG-TACTCCAG</v>
      </c>
      <c r="O53" s="68" t="str">
        <f>_xlfn.TEXTJOIN("-",TRUE,'UDI-10 bp indices'!B53,'UDI-10 bp indices'!C53)</f>
        <v>CCACATTGAT-TACTCCAGAC</v>
      </c>
    </row>
    <row r="54" spans="1:15" x14ac:dyDescent="0.15">
      <c r="A54" s="73" t="s">
        <v>675</v>
      </c>
      <c r="B54" s="73" t="s">
        <v>663</v>
      </c>
      <c r="C54" s="73" t="s">
        <v>255</v>
      </c>
      <c r="D54" s="73" t="s">
        <v>676</v>
      </c>
      <c r="E54" s="73" t="s">
        <v>677</v>
      </c>
      <c r="F54" s="67" t="s">
        <v>678</v>
      </c>
      <c r="G54" s="67"/>
      <c r="H54" s="67"/>
      <c r="I54" s="67"/>
      <c r="J54" s="73"/>
      <c r="M54" s="76" t="s">
        <v>675</v>
      </c>
      <c r="N54" s="68" t="str">
        <f t="shared" si="1"/>
        <v>TAGTGCCA-CGTCAAGA</v>
      </c>
      <c r="O54" s="68" t="str">
        <f>_xlfn.TEXTJOIN("-",TRUE,'UDI-10 bp indices'!B54,'UDI-10 bp indices'!C54)</f>
        <v>TAGTGCCAAT-CGTCAAGAAC</v>
      </c>
    </row>
    <row r="55" spans="1:15" x14ac:dyDescent="0.15">
      <c r="A55" s="73" t="s">
        <v>679</v>
      </c>
      <c r="B55" s="73" t="s">
        <v>663</v>
      </c>
      <c r="C55" s="73" t="s">
        <v>256</v>
      </c>
      <c r="D55" s="73" t="s">
        <v>680</v>
      </c>
      <c r="E55" s="73" t="s">
        <v>681</v>
      </c>
      <c r="F55" s="67" t="s">
        <v>682</v>
      </c>
      <c r="G55" s="67"/>
      <c r="H55" s="67"/>
      <c r="I55" s="67"/>
      <c r="J55" s="73"/>
      <c r="M55" s="73" t="s">
        <v>679</v>
      </c>
      <c r="N55" s="68" t="str">
        <f t="shared" si="1"/>
        <v>TCGTGCAT-CTGTACCA</v>
      </c>
      <c r="O55" s="68" t="str">
        <f>_xlfn.TEXTJOIN("-",TRUE,'UDI-10 bp indices'!B55,'UDI-10 bp indices'!C55)</f>
        <v>TCGTGCATAT-CTGTACCAAC</v>
      </c>
    </row>
    <row r="56" spans="1:15" x14ac:dyDescent="0.15">
      <c r="A56" s="73" t="s">
        <v>683</v>
      </c>
      <c r="B56" s="73" t="s">
        <v>663</v>
      </c>
      <c r="C56" s="73" t="s">
        <v>257</v>
      </c>
      <c r="D56" s="73" t="s">
        <v>684</v>
      </c>
      <c r="E56" s="73" t="s">
        <v>685</v>
      </c>
      <c r="F56" s="67" t="s">
        <v>686</v>
      </c>
      <c r="G56" s="67"/>
      <c r="H56" s="67"/>
      <c r="I56" s="67"/>
      <c r="J56" s="73"/>
      <c r="M56" s="76" t="s">
        <v>683</v>
      </c>
      <c r="N56" s="68" t="str">
        <f t="shared" si="1"/>
        <v>CTACATCC-TCACCTAG</v>
      </c>
      <c r="O56" s="68" t="str">
        <f>_xlfn.TEXTJOIN("-",TRUE,'UDI-10 bp indices'!B56,'UDI-10 bp indices'!C56)</f>
        <v>CTACATCCAT-TCACCTAGAC</v>
      </c>
    </row>
    <row r="57" spans="1:15" x14ac:dyDescent="0.15">
      <c r="A57" s="73" t="s">
        <v>687</v>
      </c>
      <c r="B57" s="73" t="s">
        <v>663</v>
      </c>
      <c r="C57" s="73" t="s">
        <v>258</v>
      </c>
      <c r="D57" s="73" t="s">
        <v>688</v>
      </c>
      <c r="E57" s="73" t="s">
        <v>689</v>
      </c>
      <c r="F57" s="67" t="s">
        <v>690</v>
      </c>
      <c r="G57" s="67"/>
      <c r="H57" s="67"/>
      <c r="I57" s="67"/>
      <c r="J57" s="73"/>
      <c r="M57" s="76" t="s">
        <v>687</v>
      </c>
      <c r="N57" s="68" t="str">
        <f t="shared" si="1"/>
        <v>CATACGGA-AACACCAC</v>
      </c>
      <c r="O57" s="68" t="str">
        <f>_xlfn.TEXTJOIN("-",TRUE,'UDI-10 bp indices'!B57,'UDI-10 bp indices'!C57)</f>
        <v>CATACGGAAT-AACACCACAC</v>
      </c>
    </row>
    <row r="58" spans="1:15" x14ac:dyDescent="0.15">
      <c r="A58" s="73" t="s">
        <v>691</v>
      </c>
      <c r="B58" s="73" t="s">
        <v>663</v>
      </c>
      <c r="C58" s="73" t="s">
        <v>259</v>
      </c>
      <c r="D58" s="73" t="s">
        <v>692</v>
      </c>
      <c r="E58" s="73" t="s">
        <v>693</v>
      </c>
      <c r="F58" s="67" t="s">
        <v>694</v>
      </c>
      <c r="G58" s="67"/>
      <c r="H58" s="67"/>
      <c r="I58" s="67"/>
      <c r="J58" s="73"/>
      <c r="M58" s="76" t="s">
        <v>691</v>
      </c>
      <c r="N58" s="68" t="str">
        <f t="shared" si="1"/>
        <v>TGCGTAAC-CGTCTTCA</v>
      </c>
      <c r="O58" s="68" t="str">
        <f>_xlfn.TEXTJOIN("-",TRUE,'UDI-10 bp indices'!B58,'UDI-10 bp indices'!C58)</f>
        <v>TGCGTAACAT-CGTCTTCAAC</v>
      </c>
    </row>
    <row r="59" spans="1:15" x14ac:dyDescent="0.15">
      <c r="A59" s="73" t="s">
        <v>695</v>
      </c>
      <c r="B59" s="73" t="s">
        <v>696</v>
      </c>
      <c r="C59" s="73" t="s">
        <v>260</v>
      </c>
      <c r="D59" s="73" t="s">
        <v>697</v>
      </c>
      <c r="E59" s="73" t="s">
        <v>698</v>
      </c>
      <c r="F59" s="67" t="s">
        <v>699</v>
      </c>
      <c r="G59" s="67"/>
      <c r="H59" s="67"/>
      <c r="I59" s="67"/>
      <c r="J59" s="73"/>
      <c r="M59" s="76" t="s">
        <v>695</v>
      </c>
      <c r="N59" s="68" t="str">
        <f t="shared" si="1"/>
        <v>CAGGTTCA-AACGTAGC</v>
      </c>
      <c r="O59" s="68" t="str">
        <f>_xlfn.TEXTJOIN("-",TRUE,'UDI-10 bp indices'!B59,'UDI-10 bp indices'!C59)</f>
        <v>CAGGTTCAAT-AACGTAGCAC</v>
      </c>
    </row>
    <row r="60" spans="1:15" x14ac:dyDescent="0.15">
      <c r="A60" s="73" t="s">
        <v>700</v>
      </c>
      <c r="B60" s="73" t="s">
        <v>696</v>
      </c>
      <c r="C60" s="73" t="s">
        <v>261</v>
      </c>
      <c r="D60" s="73" t="s">
        <v>701</v>
      </c>
      <c r="E60" s="73" t="s">
        <v>702</v>
      </c>
      <c r="F60" s="67" t="s">
        <v>703</v>
      </c>
      <c r="G60" s="67"/>
      <c r="H60" s="67"/>
      <c r="I60" s="67"/>
      <c r="J60" s="73"/>
      <c r="M60" s="76" t="s">
        <v>700</v>
      </c>
      <c r="N60" s="68" t="str">
        <f t="shared" si="1"/>
        <v>AGAACCAG-GCAACCAT</v>
      </c>
      <c r="O60" s="68" t="str">
        <f>_xlfn.TEXTJOIN("-",TRUE,'UDI-10 bp indices'!B60,'UDI-10 bp indices'!C60)</f>
        <v>AGAACCAGAT-GCAACCATAC</v>
      </c>
    </row>
    <row r="61" spans="1:15" x14ac:dyDescent="0.15">
      <c r="A61" s="73" t="s">
        <v>704</v>
      </c>
      <c r="B61" s="73" t="s">
        <v>696</v>
      </c>
      <c r="C61" s="73" t="s">
        <v>262</v>
      </c>
      <c r="D61" s="73" t="s">
        <v>705</v>
      </c>
      <c r="E61" s="73" t="s">
        <v>706</v>
      </c>
      <c r="F61" s="67" t="s">
        <v>707</v>
      </c>
      <c r="G61" s="67"/>
      <c r="H61" s="67"/>
      <c r="I61" s="67"/>
      <c r="J61" s="73"/>
      <c r="M61" s="76" t="s">
        <v>704</v>
      </c>
      <c r="N61" s="68" t="str">
        <f t="shared" si="1"/>
        <v>GAATGGCA-GATCCACT</v>
      </c>
      <c r="O61" s="68" t="str">
        <f>_xlfn.TEXTJOIN("-",TRUE,'UDI-10 bp indices'!B61,'UDI-10 bp indices'!C61)</f>
        <v>GAATGGCAAT-GATCCACTAC</v>
      </c>
    </row>
    <row r="62" spans="1:15" x14ac:dyDescent="0.15">
      <c r="A62" s="73" t="s">
        <v>708</v>
      </c>
      <c r="B62" s="73" t="s">
        <v>696</v>
      </c>
      <c r="C62" s="73" t="s">
        <v>263</v>
      </c>
      <c r="D62" s="73" t="s">
        <v>709</v>
      </c>
      <c r="E62" s="73" t="s">
        <v>710</v>
      </c>
      <c r="F62" s="67" t="s">
        <v>711</v>
      </c>
      <c r="G62" s="67"/>
      <c r="H62" s="67"/>
      <c r="I62" s="67"/>
      <c r="J62" s="73"/>
      <c r="M62" s="76" t="s">
        <v>708</v>
      </c>
      <c r="N62" s="68" t="str">
        <f t="shared" si="1"/>
        <v>AGGCAATG-ACCTAGAC</v>
      </c>
      <c r="O62" s="68" t="str">
        <f>_xlfn.TEXTJOIN("-",TRUE,'UDI-10 bp indices'!B62,'UDI-10 bp indices'!C62)</f>
        <v>AGGCAATGAT-ACCTAGACAC</v>
      </c>
    </row>
    <row r="63" spans="1:15" x14ac:dyDescent="0.15">
      <c r="A63" s="73" t="s">
        <v>712</v>
      </c>
      <c r="B63" s="73" t="s">
        <v>696</v>
      </c>
      <c r="C63" s="73" t="s">
        <v>264</v>
      </c>
      <c r="D63" s="73" t="s">
        <v>713</v>
      </c>
      <c r="E63" s="73" t="s">
        <v>714</v>
      </c>
      <c r="F63" s="67" t="s">
        <v>715</v>
      </c>
      <c r="G63" s="67"/>
      <c r="H63" s="67"/>
      <c r="I63" s="67"/>
      <c r="J63" s="73"/>
      <c r="M63" s="76" t="s">
        <v>712</v>
      </c>
      <c r="N63" s="68" t="str">
        <f t="shared" si="1"/>
        <v>TAGGAGCT-CTAGCAGT</v>
      </c>
      <c r="O63" s="68" t="str">
        <f>_xlfn.TEXTJOIN("-",TRUE,'UDI-10 bp indices'!B63,'UDI-10 bp indices'!C63)</f>
        <v>TAGGAGCTAT-CTAGCAGTAC</v>
      </c>
    </row>
    <row r="64" spans="1:15" x14ac:dyDescent="0.15">
      <c r="A64" s="73" t="s">
        <v>716</v>
      </c>
      <c r="B64" s="73" t="s">
        <v>696</v>
      </c>
      <c r="C64" s="73" t="s">
        <v>265</v>
      </c>
      <c r="D64" s="73" t="s">
        <v>717</v>
      </c>
      <c r="E64" s="73" t="s">
        <v>718</v>
      </c>
      <c r="F64" s="67" t="s">
        <v>719</v>
      </c>
      <c r="G64" s="67"/>
      <c r="H64" s="67"/>
      <c r="I64" s="67"/>
      <c r="J64" s="73"/>
      <c r="M64" s="76" t="s">
        <v>716</v>
      </c>
      <c r="N64" s="68" t="str">
        <f t="shared" si="1"/>
        <v>CGAACAAC-TCGATGAC</v>
      </c>
      <c r="O64" s="68" t="str">
        <f>_xlfn.TEXTJOIN("-",TRUE,'UDI-10 bp indices'!B64,'UDI-10 bp indices'!C64)</f>
        <v>CGAACAACAT-TCGATGACAC</v>
      </c>
    </row>
    <row r="65" spans="1:15" x14ac:dyDescent="0.15">
      <c r="A65" s="73" t="s">
        <v>720</v>
      </c>
      <c r="B65" s="73" t="s">
        <v>696</v>
      </c>
      <c r="C65" s="73" t="s">
        <v>266</v>
      </c>
      <c r="D65" s="73" t="s">
        <v>721</v>
      </c>
      <c r="E65" s="73" t="s">
        <v>722</v>
      </c>
      <c r="F65" s="67" t="s">
        <v>723</v>
      </c>
      <c r="G65" s="67"/>
      <c r="H65" s="67"/>
      <c r="I65" s="67"/>
      <c r="J65" s="73"/>
      <c r="M65" s="76" t="s">
        <v>720</v>
      </c>
      <c r="N65" s="68" t="str">
        <f t="shared" si="1"/>
        <v>CATTCGTC-TTGGTGCA</v>
      </c>
      <c r="O65" s="68" t="str">
        <f>_xlfn.TEXTJOIN("-",TRUE,'UDI-10 bp indices'!B65,'UDI-10 bp indices'!C65)</f>
        <v>CATTCGTCAT-TTGGTGCAAC</v>
      </c>
    </row>
    <row r="66" spans="1:15" x14ac:dyDescent="0.15">
      <c r="A66" s="73" t="s">
        <v>724</v>
      </c>
      <c r="B66" s="73" t="s">
        <v>696</v>
      </c>
      <c r="C66" s="73" t="s">
        <v>267</v>
      </c>
      <c r="D66" s="73" t="s">
        <v>725</v>
      </c>
      <c r="E66" s="73" t="s">
        <v>726</v>
      </c>
      <c r="F66" s="67" t="s">
        <v>727</v>
      </c>
      <c r="G66" s="67"/>
      <c r="H66" s="67"/>
      <c r="I66" s="67"/>
      <c r="J66" s="73"/>
      <c r="M66" s="76" t="s">
        <v>724</v>
      </c>
      <c r="N66" s="68" t="str">
        <f t="shared" si="1"/>
        <v>AGCCAACT-AGTGCATC</v>
      </c>
      <c r="O66" s="68" t="str">
        <f>_xlfn.TEXTJOIN("-",TRUE,'UDI-10 bp indices'!B66,'UDI-10 bp indices'!C66)</f>
        <v>AGCCAACTAT-AGTGCATCAC</v>
      </c>
    </row>
    <row r="67" spans="1:15" x14ac:dyDescent="0.15">
      <c r="A67" s="73" t="s">
        <v>728</v>
      </c>
      <c r="B67" s="73" t="s">
        <v>729</v>
      </c>
      <c r="C67" s="73" t="s">
        <v>268</v>
      </c>
      <c r="D67" s="73" t="s">
        <v>730</v>
      </c>
      <c r="E67" s="73" t="s">
        <v>731</v>
      </c>
      <c r="F67" s="67" t="s">
        <v>732</v>
      </c>
      <c r="G67" s="67"/>
      <c r="H67" s="67"/>
      <c r="I67" s="67"/>
      <c r="J67" s="73"/>
      <c r="M67" s="73" t="s">
        <v>728</v>
      </c>
      <c r="N67" s="68" t="str">
        <f t="shared" si="1"/>
        <v>GCCTTAAC-CCGTTATG</v>
      </c>
      <c r="O67" s="68" t="str">
        <f>_xlfn.TEXTJOIN("-",TRUE,'UDI-10 bp indices'!B67,'UDI-10 bp indices'!C67)</f>
        <v>GCCTTAACAT-CCGTTATGAC</v>
      </c>
    </row>
    <row r="68" spans="1:15" x14ac:dyDescent="0.15">
      <c r="A68" s="73" t="s">
        <v>733</v>
      </c>
      <c r="B68" s="73" t="s">
        <v>729</v>
      </c>
      <c r="C68" s="73" t="s">
        <v>269</v>
      </c>
      <c r="D68" s="73" t="s">
        <v>734</v>
      </c>
      <c r="E68" s="73" t="s">
        <v>735</v>
      </c>
      <c r="F68" s="67" t="s">
        <v>736</v>
      </c>
      <c r="G68" s="67"/>
      <c r="H68" s="67"/>
      <c r="I68" s="67"/>
      <c r="J68" s="73"/>
      <c r="M68" s="73" t="s">
        <v>733</v>
      </c>
      <c r="N68" s="68" t="str">
        <f t="shared" ref="N68:N98" si="6">_xlfn.TEXTJOIN("-",TRUE,D68,E68)</f>
        <v>ATTCCGCT-TGTCGACT</v>
      </c>
      <c r="O68" s="68" t="str">
        <f>_xlfn.TEXTJOIN("-",TRUE,'UDI-10 bp indices'!B68,'UDI-10 bp indices'!C68)</f>
        <v>ATTCCGCTAT-TGTCGACTAC</v>
      </c>
    </row>
    <row r="69" spans="1:15" x14ac:dyDescent="0.15">
      <c r="A69" s="73" t="s">
        <v>737</v>
      </c>
      <c r="B69" s="73" t="s">
        <v>729</v>
      </c>
      <c r="C69" s="73" t="s">
        <v>270</v>
      </c>
      <c r="D69" s="73" t="s">
        <v>738</v>
      </c>
      <c r="E69" s="73" t="s">
        <v>739</v>
      </c>
      <c r="F69" s="67" t="s">
        <v>740</v>
      </c>
      <c r="G69" s="67"/>
      <c r="H69" s="67"/>
      <c r="I69" s="67"/>
      <c r="J69" s="73"/>
      <c r="M69" s="73" t="s">
        <v>737</v>
      </c>
      <c r="N69" s="68" t="str">
        <f t="shared" si="6"/>
        <v>ATCGTGGT-CTCTATCG</v>
      </c>
      <c r="O69" s="68" t="str">
        <f>_xlfn.TEXTJOIN("-",TRUE,'UDI-10 bp indices'!B69,'UDI-10 bp indices'!C69)</f>
        <v>ATCGTGGTAT-CTCTATCGAC</v>
      </c>
    </row>
    <row r="70" spans="1:15" x14ac:dyDescent="0.15">
      <c r="A70" s="73" t="s">
        <v>741</v>
      </c>
      <c r="B70" s="73" t="s">
        <v>729</v>
      </c>
      <c r="C70" s="73" t="s">
        <v>271</v>
      </c>
      <c r="D70" s="73" t="s">
        <v>742</v>
      </c>
      <c r="E70" s="73" t="s">
        <v>743</v>
      </c>
      <c r="F70" s="67" t="s">
        <v>744</v>
      </c>
      <c r="G70" s="67"/>
      <c r="H70" s="67"/>
      <c r="I70" s="67"/>
      <c r="J70" s="73"/>
      <c r="M70" s="73" t="s">
        <v>741</v>
      </c>
      <c r="N70" s="68" t="str">
        <f t="shared" si="6"/>
        <v>GCTACAAC-ACTGCTTG</v>
      </c>
      <c r="O70" s="68" t="str">
        <f>_xlfn.TEXTJOIN("-",TRUE,'UDI-10 bp indices'!B70,'UDI-10 bp indices'!C70)</f>
        <v>GCTACAACAT-ACTGCTTGAC</v>
      </c>
    </row>
    <row r="71" spans="1:15" x14ac:dyDescent="0.15">
      <c r="A71" s="73" t="s">
        <v>745</v>
      </c>
      <c r="B71" s="73" t="s">
        <v>729</v>
      </c>
      <c r="C71" s="73" t="s">
        <v>272</v>
      </c>
      <c r="D71" s="73" t="s">
        <v>746</v>
      </c>
      <c r="E71" s="73" t="s">
        <v>747</v>
      </c>
      <c r="F71" s="67" t="s">
        <v>748</v>
      </c>
      <c r="G71" s="67"/>
      <c r="H71" s="67"/>
      <c r="I71" s="67"/>
      <c r="J71" s="73"/>
      <c r="M71" s="73" t="s">
        <v>745</v>
      </c>
      <c r="N71" s="68" t="str">
        <f t="shared" si="6"/>
        <v>TCTACGCA-CGCCTTAT</v>
      </c>
      <c r="O71" s="68" t="str">
        <f>_xlfn.TEXTJOIN("-",TRUE,'UDI-10 bp indices'!B71,'UDI-10 bp indices'!C71)</f>
        <v>TCTACGCAAT-CGCCTTATAC</v>
      </c>
    </row>
    <row r="72" spans="1:15" x14ac:dyDescent="0.15">
      <c r="A72" s="73" t="s">
        <v>749</v>
      </c>
      <c r="B72" s="73" t="s">
        <v>729</v>
      </c>
      <c r="C72" s="73" t="s">
        <v>273</v>
      </c>
      <c r="D72" s="73" t="s">
        <v>750</v>
      </c>
      <c r="E72" s="73" t="s">
        <v>751</v>
      </c>
      <c r="F72" s="67" t="s">
        <v>752</v>
      </c>
      <c r="G72" s="67"/>
      <c r="H72" s="67"/>
      <c r="I72" s="67"/>
      <c r="J72" s="73"/>
      <c r="M72" s="73" t="s">
        <v>749</v>
      </c>
      <c r="N72" s="68" t="str">
        <f t="shared" si="6"/>
        <v>CTCCAATC-ATAGGTCC</v>
      </c>
      <c r="O72" s="68" t="str">
        <f>_xlfn.TEXTJOIN("-",TRUE,'UDI-10 bp indices'!B72,'UDI-10 bp indices'!C72)</f>
        <v>CTCCAATCAT-ATAGGTCCAC</v>
      </c>
    </row>
    <row r="73" spans="1:15" x14ac:dyDescent="0.15">
      <c r="A73" s="73" t="s">
        <v>753</v>
      </c>
      <c r="B73" s="73" t="s">
        <v>729</v>
      </c>
      <c r="C73" s="73" t="s">
        <v>274</v>
      </c>
      <c r="D73" s="73" t="s">
        <v>754</v>
      </c>
      <c r="E73" s="73" t="s">
        <v>755</v>
      </c>
      <c r="F73" s="67" t="s">
        <v>756</v>
      </c>
      <c r="G73" s="67"/>
      <c r="H73" s="67"/>
      <c r="I73" s="67"/>
      <c r="J73" s="73"/>
      <c r="M73" s="73" t="s">
        <v>753</v>
      </c>
      <c r="N73" s="68" t="str">
        <f t="shared" si="6"/>
        <v>ACTCTCCA-TGATCACG</v>
      </c>
      <c r="O73" s="68" t="str">
        <f>_xlfn.TEXTJOIN("-",TRUE,'UDI-10 bp indices'!B73,'UDI-10 bp indices'!C73)</f>
        <v>ACTCTCCAAT-TGATCACGAC</v>
      </c>
    </row>
    <row r="74" spans="1:15" x14ac:dyDescent="0.15">
      <c r="A74" s="73" t="s">
        <v>757</v>
      </c>
      <c r="B74" s="73" t="s">
        <v>729</v>
      </c>
      <c r="C74" s="73" t="s">
        <v>299</v>
      </c>
      <c r="D74" s="73" t="s">
        <v>758</v>
      </c>
      <c r="E74" s="73" t="s">
        <v>759</v>
      </c>
      <c r="F74" s="67" t="s">
        <v>760</v>
      </c>
      <c r="G74" s="67"/>
      <c r="H74" s="67"/>
      <c r="I74" s="67"/>
      <c r="J74" s="73"/>
      <c r="M74" s="73" t="s">
        <v>757</v>
      </c>
      <c r="N74" s="68" t="str">
        <f t="shared" si="6"/>
        <v>GTCTCATC-CGGATCAA</v>
      </c>
      <c r="O74" s="68" t="str">
        <f>_xlfn.TEXTJOIN("-",TRUE,'UDI-10 bp indices'!B74,'UDI-10 bp indices'!C74)</f>
        <v>GTCTCATCAT-CGGATCAAAC</v>
      </c>
    </row>
    <row r="75" spans="1:15" x14ac:dyDescent="0.15">
      <c r="A75" s="73" t="s">
        <v>761</v>
      </c>
      <c r="B75" s="73" t="s">
        <v>762</v>
      </c>
      <c r="C75" s="73" t="s">
        <v>275</v>
      </c>
      <c r="D75" s="73" t="s">
        <v>763</v>
      </c>
      <c r="E75" s="73" t="s">
        <v>764</v>
      </c>
      <c r="F75" s="67" t="s">
        <v>765</v>
      </c>
      <c r="G75" s="67"/>
      <c r="H75" s="67"/>
      <c r="I75" s="67"/>
      <c r="J75" s="73"/>
      <c r="M75" s="73" t="s">
        <v>761</v>
      </c>
      <c r="N75" s="68" t="str">
        <f t="shared" si="6"/>
        <v>GCCAGAAT-TACTAGCG</v>
      </c>
      <c r="O75" s="68" t="str">
        <f>_xlfn.TEXTJOIN("-",TRUE,'UDI-10 bp indices'!B75,'UDI-10 bp indices'!C75)</f>
        <v>GCCAGAATAT-TACTAGCGAC</v>
      </c>
    </row>
    <row r="76" spans="1:15" x14ac:dyDescent="0.15">
      <c r="A76" s="73" t="s">
        <v>766</v>
      </c>
      <c r="B76" s="73" t="s">
        <v>762</v>
      </c>
      <c r="C76" s="73" t="s">
        <v>276</v>
      </c>
      <c r="D76" s="73" t="s">
        <v>767</v>
      </c>
      <c r="E76" s="73" t="s">
        <v>768</v>
      </c>
      <c r="F76" s="67" t="s">
        <v>769</v>
      </c>
      <c r="G76" s="67"/>
      <c r="H76" s="67"/>
      <c r="I76" s="67"/>
      <c r="J76" s="73"/>
      <c r="M76" s="73" t="s">
        <v>766</v>
      </c>
      <c r="N76" s="68" t="str">
        <f t="shared" si="6"/>
        <v>AATGACGC-TGGACCAT</v>
      </c>
      <c r="O76" s="68" t="str">
        <f>_xlfn.TEXTJOIN("-",TRUE,'UDI-10 bp indices'!B76,'UDI-10 bp indices'!C76)</f>
        <v>AATGACGCAT-TGGACCATAC</v>
      </c>
    </row>
    <row r="77" spans="1:15" x14ac:dyDescent="0.15">
      <c r="A77" s="73" t="s">
        <v>770</v>
      </c>
      <c r="B77" s="73" t="s">
        <v>762</v>
      </c>
      <c r="C77" s="73" t="s">
        <v>277</v>
      </c>
      <c r="D77" s="73" t="s">
        <v>771</v>
      </c>
      <c r="E77" s="73" t="s">
        <v>772</v>
      </c>
      <c r="F77" s="67" t="s">
        <v>773</v>
      </c>
      <c r="G77" s="67"/>
      <c r="H77" s="67"/>
      <c r="I77" s="67"/>
      <c r="J77" s="73"/>
      <c r="M77" s="73" t="s">
        <v>770</v>
      </c>
      <c r="N77" s="68" t="str">
        <f t="shared" si="6"/>
        <v>GTACCACA-GCGCATAT</v>
      </c>
      <c r="O77" s="68" t="str">
        <f>_xlfn.TEXTJOIN("-",TRUE,'UDI-10 bp indices'!B77,'UDI-10 bp indices'!C77)</f>
        <v>GTACCACAAT-GCGCATATAC</v>
      </c>
    </row>
    <row r="78" spans="1:15" x14ac:dyDescent="0.15">
      <c r="A78" s="73" t="s">
        <v>774</v>
      </c>
      <c r="B78" s="73" t="s">
        <v>762</v>
      </c>
      <c r="C78" s="73" t="s">
        <v>278</v>
      </c>
      <c r="D78" s="73" t="s">
        <v>775</v>
      </c>
      <c r="E78" s="73" t="s">
        <v>776</v>
      </c>
      <c r="F78" s="67" t="s">
        <v>777</v>
      </c>
      <c r="G78" s="67"/>
      <c r="H78" s="67"/>
      <c r="I78" s="67"/>
      <c r="J78" s="73"/>
      <c r="M78" s="73" t="s">
        <v>774</v>
      </c>
      <c r="N78" s="68" t="str">
        <f t="shared" si="6"/>
        <v>ACGATCAG-ATCGCAAC</v>
      </c>
      <c r="O78" s="68" t="str">
        <f>_xlfn.TEXTJOIN("-",TRUE,'UDI-10 bp indices'!B78,'UDI-10 bp indices'!C78)</f>
        <v>ACGATCAGAT-ATCGCAACAC</v>
      </c>
    </row>
    <row r="79" spans="1:15" x14ac:dyDescent="0.15">
      <c r="A79" s="73" t="s">
        <v>778</v>
      </c>
      <c r="B79" s="73" t="s">
        <v>762</v>
      </c>
      <c r="C79" s="73" t="s">
        <v>279</v>
      </c>
      <c r="D79" s="73" t="s">
        <v>779</v>
      </c>
      <c r="E79" s="73" t="s">
        <v>780</v>
      </c>
      <c r="F79" s="67" t="s">
        <v>781</v>
      </c>
      <c r="G79" s="67"/>
      <c r="H79" s="67"/>
      <c r="I79" s="67"/>
      <c r="J79" s="73"/>
      <c r="M79" s="73" t="s">
        <v>778</v>
      </c>
      <c r="N79" s="68" t="str">
        <f t="shared" si="6"/>
        <v>TAACGTCG-TCAGCCTT</v>
      </c>
      <c r="O79" s="68" t="str">
        <f>_xlfn.TEXTJOIN("-",TRUE,'UDI-10 bp indices'!B79,'UDI-10 bp indices'!C79)</f>
        <v>TAACGTCGAT-TCAGCCTTAC</v>
      </c>
    </row>
    <row r="80" spans="1:15" x14ac:dyDescent="0.15">
      <c r="A80" s="73" t="s">
        <v>782</v>
      </c>
      <c r="B80" s="73" t="s">
        <v>762</v>
      </c>
      <c r="C80" s="73" t="s">
        <v>280</v>
      </c>
      <c r="D80" s="73" t="s">
        <v>783</v>
      </c>
      <c r="E80" s="73" t="s">
        <v>784</v>
      </c>
      <c r="F80" s="67" t="s">
        <v>785</v>
      </c>
      <c r="G80" s="67"/>
      <c r="H80" s="67"/>
      <c r="I80" s="67"/>
      <c r="J80" s="73"/>
      <c r="M80" s="73" t="s">
        <v>782</v>
      </c>
      <c r="N80" s="68" t="str">
        <f t="shared" si="6"/>
        <v>CGCAACTA-CATTGACG</v>
      </c>
      <c r="O80" s="68" t="str">
        <f>_xlfn.TEXTJOIN("-",TRUE,'UDI-10 bp indices'!B80,'UDI-10 bp indices'!C80)</f>
        <v>CGCAACTAAT-CATTGACGAC</v>
      </c>
    </row>
    <row r="81" spans="1:15" x14ac:dyDescent="0.15">
      <c r="A81" s="73" t="s">
        <v>786</v>
      </c>
      <c r="B81" s="73" t="s">
        <v>762</v>
      </c>
      <c r="C81" s="73" t="s">
        <v>281</v>
      </c>
      <c r="D81" s="73" t="s">
        <v>787</v>
      </c>
      <c r="E81" s="73" t="s">
        <v>788</v>
      </c>
      <c r="F81" s="67" t="s">
        <v>789</v>
      </c>
      <c r="G81" s="67"/>
      <c r="H81" s="67"/>
      <c r="I81" s="67"/>
      <c r="J81" s="73"/>
      <c r="M81" s="73" t="s">
        <v>786</v>
      </c>
      <c r="N81" s="68" t="str">
        <f t="shared" si="6"/>
        <v>AACACTGG-ACAGGCAT</v>
      </c>
      <c r="O81" s="68" t="str">
        <f>_xlfn.TEXTJOIN("-",TRUE,'UDI-10 bp indices'!B81,'UDI-10 bp indices'!C81)</f>
        <v>AACACTGGAT-ACAGGCATAC</v>
      </c>
    </row>
    <row r="82" spans="1:15" x14ac:dyDescent="0.15">
      <c r="A82" s="73" t="s">
        <v>790</v>
      </c>
      <c r="B82" s="73" t="s">
        <v>762</v>
      </c>
      <c r="C82" s="73" t="s">
        <v>282</v>
      </c>
      <c r="D82" s="73" t="s">
        <v>791</v>
      </c>
      <c r="E82" s="73" t="s">
        <v>792</v>
      </c>
      <c r="F82" s="67" t="s">
        <v>793</v>
      </c>
      <c r="G82" s="67"/>
      <c r="H82" s="67"/>
      <c r="I82" s="67"/>
      <c r="J82" s="73"/>
      <c r="M82" s="73" t="s">
        <v>790</v>
      </c>
      <c r="N82" s="68" t="str">
        <f t="shared" si="6"/>
        <v>CCTGTCAA-AGGTCTGT</v>
      </c>
      <c r="O82" s="68" t="str">
        <f>_xlfn.TEXTJOIN("-",TRUE,'UDI-10 bp indices'!B82,'UDI-10 bp indices'!C82)</f>
        <v>CCTGTCAAAT-AGGTCTGTAC</v>
      </c>
    </row>
    <row r="83" spans="1:15" x14ac:dyDescent="0.15">
      <c r="A83" s="73" t="s">
        <v>794</v>
      </c>
      <c r="B83" s="73" t="s">
        <v>795</v>
      </c>
      <c r="C83" s="73" t="s">
        <v>283</v>
      </c>
      <c r="D83" s="73" t="s">
        <v>796</v>
      </c>
      <c r="E83" s="73" t="s">
        <v>797</v>
      </c>
      <c r="F83" s="67" t="s">
        <v>798</v>
      </c>
      <c r="G83" s="67"/>
      <c r="H83" s="67"/>
      <c r="I83" s="67"/>
      <c r="J83" s="73"/>
      <c r="M83" s="73" t="s">
        <v>794</v>
      </c>
      <c r="N83" s="68" t="str">
        <f t="shared" si="6"/>
        <v>TCCTGGTA-CAGATCCT</v>
      </c>
      <c r="O83" s="68" t="str">
        <f>_xlfn.TEXTJOIN("-",TRUE,'UDI-10 bp indices'!B83,'UDI-10 bp indices'!C83)</f>
        <v>TCCTGGTAAT-CAGATCCTAC</v>
      </c>
    </row>
    <row r="84" spans="1:15" x14ac:dyDescent="0.15">
      <c r="A84" s="73" t="s">
        <v>799</v>
      </c>
      <c r="B84" s="73" t="s">
        <v>795</v>
      </c>
      <c r="C84" s="73" t="s">
        <v>284</v>
      </c>
      <c r="D84" s="73" t="s">
        <v>800</v>
      </c>
      <c r="E84" s="73" t="s">
        <v>801</v>
      </c>
      <c r="F84" s="67" t="s">
        <v>802</v>
      </c>
      <c r="G84" s="67"/>
      <c r="H84" s="67"/>
      <c r="I84" s="67"/>
      <c r="J84" s="73"/>
      <c r="M84" s="73" t="s">
        <v>799</v>
      </c>
      <c r="N84" s="68" t="str">
        <f t="shared" si="6"/>
        <v>CATCAACC-CTCCTGAA</v>
      </c>
      <c r="O84" s="68" t="str">
        <f>_xlfn.TEXTJOIN("-",TRUE,'UDI-10 bp indices'!B84,'UDI-10 bp indices'!C84)</f>
        <v>CATCAACCAT-CTCCTGAAAC</v>
      </c>
    </row>
    <row r="85" spans="1:15" x14ac:dyDescent="0.15">
      <c r="A85" s="73" t="s">
        <v>803</v>
      </c>
      <c r="B85" s="73" t="s">
        <v>795</v>
      </c>
      <c r="C85" s="73" t="s">
        <v>285</v>
      </c>
      <c r="D85" s="73" t="s">
        <v>804</v>
      </c>
      <c r="E85" s="73" t="s">
        <v>805</v>
      </c>
      <c r="F85" s="67" t="s">
        <v>806</v>
      </c>
      <c r="G85" s="67"/>
      <c r="H85" s="67"/>
      <c r="I85" s="67"/>
      <c r="J85" s="73"/>
      <c r="M85" s="73" t="s">
        <v>803</v>
      </c>
      <c r="N85" s="68" t="str">
        <f t="shared" si="6"/>
        <v>AGCAGACA-AGAGGATG</v>
      </c>
      <c r="O85" s="68" t="str">
        <f>_xlfn.TEXTJOIN("-",TRUE,'UDI-10 bp indices'!B85,'UDI-10 bp indices'!C85)</f>
        <v>AGCAGACAAT-AGAGGATGAC</v>
      </c>
    </row>
    <row r="86" spans="1:15" x14ac:dyDescent="0.15">
      <c r="A86" s="73" t="s">
        <v>807</v>
      </c>
      <c r="B86" s="73" t="s">
        <v>795</v>
      </c>
      <c r="C86" s="73" t="s">
        <v>286</v>
      </c>
      <c r="D86" s="73" t="s">
        <v>808</v>
      </c>
      <c r="E86" s="73" t="s">
        <v>809</v>
      </c>
      <c r="F86" s="67" t="s">
        <v>810</v>
      </c>
      <c r="G86" s="67"/>
      <c r="H86" s="67"/>
      <c r="I86" s="67"/>
      <c r="J86" s="73"/>
      <c r="M86" s="73" t="s">
        <v>807</v>
      </c>
      <c r="N86" s="68" t="str">
        <f t="shared" si="6"/>
        <v>GAAGACTG-CACCATGA</v>
      </c>
      <c r="O86" s="68" t="str">
        <f>_xlfn.TEXTJOIN("-",TRUE,'UDI-10 bp indices'!B86,'UDI-10 bp indices'!C86)</f>
        <v>GAAGACTGAT-CACCATGAAC</v>
      </c>
    </row>
    <row r="87" spans="1:15" x14ac:dyDescent="0.15">
      <c r="A87" s="73" t="s">
        <v>811</v>
      </c>
      <c r="B87" s="73" t="s">
        <v>795</v>
      </c>
      <c r="C87" s="73" t="s">
        <v>287</v>
      </c>
      <c r="D87" s="73" t="s">
        <v>812</v>
      </c>
      <c r="E87" s="73" t="s">
        <v>813</v>
      </c>
      <c r="F87" s="67" t="s">
        <v>814</v>
      </c>
      <c r="G87" s="67"/>
      <c r="H87" s="67"/>
      <c r="I87" s="67"/>
      <c r="J87" s="73"/>
      <c r="M87" s="73" t="s">
        <v>811</v>
      </c>
      <c r="N87" s="68" t="str">
        <f t="shared" si="6"/>
        <v>TCTAGTCC-CGGTAATC</v>
      </c>
      <c r="O87" s="68" t="str">
        <f>_xlfn.TEXTJOIN("-",TRUE,'UDI-10 bp indices'!B87,'UDI-10 bp indices'!C87)</f>
        <v>TCTAGTCCAT-CGGTAATCAC</v>
      </c>
    </row>
    <row r="88" spans="1:15" x14ac:dyDescent="0.15">
      <c r="A88" s="73" t="s">
        <v>815</v>
      </c>
      <c r="B88" s="73" t="s">
        <v>795</v>
      </c>
      <c r="C88" s="73" t="s">
        <v>288</v>
      </c>
      <c r="D88" s="73" t="s">
        <v>816</v>
      </c>
      <c r="E88" s="73" t="s">
        <v>817</v>
      </c>
      <c r="F88" s="67" t="s">
        <v>818</v>
      </c>
      <c r="G88" s="67"/>
      <c r="H88" s="67"/>
      <c r="I88" s="67"/>
      <c r="J88" s="73"/>
      <c r="M88" s="73" t="s">
        <v>815</v>
      </c>
      <c r="N88" s="68" t="str">
        <f t="shared" si="6"/>
        <v>CTCGACTT-GAGTGTGT</v>
      </c>
      <c r="O88" s="68" t="str">
        <f>_xlfn.TEXTJOIN("-",TRUE,'UDI-10 bp indices'!B88,'UDI-10 bp indices'!C88)</f>
        <v>CTCGACTTAT-GAGTGTGTAC</v>
      </c>
    </row>
    <row r="89" spans="1:15" x14ac:dyDescent="0.15">
      <c r="A89" s="73" t="s">
        <v>819</v>
      </c>
      <c r="B89" s="73" t="s">
        <v>795</v>
      </c>
      <c r="C89" s="73" t="s">
        <v>289</v>
      </c>
      <c r="D89" s="73" t="s">
        <v>820</v>
      </c>
      <c r="E89" s="73" t="s">
        <v>821</v>
      </c>
      <c r="F89" s="67" t="s">
        <v>822</v>
      </c>
      <c r="G89" s="67"/>
      <c r="H89" s="67"/>
      <c r="I89" s="67"/>
      <c r="J89" s="73"/>
      <c r="M89" s="73" t="s">
        <v>819</v>
      </c>
      <c r="N89" s="68" t="str">
        <f t="shared" si="6"/>
        <v>CTAGCTCA-AACTGAGG</v>
      </c>
      <c r="O89" s="68" t="str">
        <f>_xlfn.TEXTJOIN("-",TRUE,'UDI-10 bp indices'!B89,'UDI-10 bp indices'!C89)</f>
        <v>CTAGCTCAAT-AACTGAGGAC</v>
      </c>
    </row>
    <row r="90" spans="1:15" x14ac:dyDescent="0.15">
      <c r="A90" s="73" t="s">
        <v>823</v>
      </c>
      <c r="B90" s="73" t="s">
        <v>795</v>
      </c>
      <c r="C90" s="73" t="s">
        <v>290</v>
      </c>
      <c r="D90" s="73" t="s">
        <v>824</v>
      </c>
      <c r="E90" s="73" t="s">
        <v>825</v>
      </c>
      <c r="F90" s="67" t="s">
        <v>826</v>
      </c>
      <c r="G90" s="67"/>
      <c r="H90" s="67"/>
      <c r="I90" s="67"/>
      <c r="J90" s="73"/>
      <c r="M90" s="73" t="s">
        <v>823</v>
      </c>
      <c r="N90" s="68" t="str">
        <f t="shared" si="6"/>
        <v>TCCAACTG-TGTGTCAG</v>
      </c>
      <c r="O90" s="68" t="str">
        <f>_xlfn.TEXTJOIN("-",TRUE,'UDI-10 bp indices'!B90,'UDI-10 bp indices'!C90)</f>
        <v>TCCAACTGAT-TGTGTCAGAC</v>
      </c>
    </row>
    <row r="91" spans="1:15" x14ac:dyDescent="0.15">
      <c r="A91" s="73" t="s">
        <v>827</v>
      </c>
      <c r="B91" s="73" t="s">
        <v>828</v>
      </c>
      <c r="C91" s="73" t="s">
        <v>291</v>
      </c>
      <c r="D91" s="73" t="s">
        <v>829</v>
      </c>
      <c r="E91" s="73" t="s">
        <v>830</v>
      </c>
      <c r="F91" s="67" t="s">
        <v>831</v>
      </c>
      <c r="G91" s="67"/>
      <c r="H91" s="67"/>
      <c r="I91" s="67"/>
      <c r="J91" s="73"/>
      <c r="M91" s="73" t="s">
        <v>827</v>
      </c>
      <c r="N91" s="68" t="str">
        <f t="shared" si="6"/>
        <v>GACATCTC-TGTCACAC</v>
      </c>
      <c r="O91" s="68" t="str">
        <f>_xlfn.TEXTJOIN("-",TRUE,'UDI-10 bp indices'!B91,'UDI-10 bp indices'!C91)</f>
        <v>GACATCTCAT-TGTCACACAC</v>
      </c>
    </row>
    <row r="92" spans="1:15" x14ac:dyDescent="0.15">
      <c r="A92" s="73" t="s">
        <v>832</v>
      </c>
      <c r="B92" s="73" t="s">
        <v>828</v>
      </c>
      <c r="C92" s="73" t="s">
        <v>292</v>
      </c>
      <c r="D92" s="73" t="s">
        <v>833</v>
      </c>
      <c r="E92" s="73" t="s">
        <v>834</v>
      </c>
      <c r="F92" s="67" t="s">
        <v>835</v>
      </c>
      <c r="G92" s="67"/>
      <c r="H92" s="67"/>
      <c r="I92" s="67"/>
      <c r="J92" s="73"/>
      <c r="M92" s="73" t="s">
        <v>832</v>
      </c>
      <c r="N92" s="68" t="str">
        <f t="shared" si="6"/>
        <v>ACTGCACT-AGATCGTC</v>
      </c>
      <c r="O92" s="68" t="str">
        <f>_xlfn.TEXTJOIN("-",TRUE,'UDI-10 bp indices'!B92,'UDI-10 bp indices'!C92)</f>
        <v>ACTGCACTAT-AGATCGTCAC</v>
      </c>
    </row>
    <row r="93" spans="1:15" x14ac:dyDescent="0.15">
      <c r="A93" s="73" t="s">
        <v>836</v>
      </c>
      <c r="B93" s="73" t="s">
        <v>828</v>
      </c>
      <c r="C93" s="73" t="s">
        <v>293</v>
      </c>
      <c r="D93" s="73" t="s">
        <v>837</v>
      </c>
      <c r="E93" s="73" t="s">
        <v>838</v>
      </c>
      <c r="F93" s="67" t="s">
        <v>839</v>
      </c>
      <c r="G93" s="67"/>
      <c r="H93" s="67"/>
      <c r="I93" s="67"/>
      <c r="J93" s="73"/>
      <c r="M93" s="73" t="s">
        <v>836</v>
      </c>
      <c r="N93" s="68" t="str">
        <f t="shared" si="6"/>
        <v>GTTCCATG-CAATGCGA</v>
      </c>
      <c r="O93" s="68" t="str">
        <f>_xlfn.TEXTJOIN("-",TRUE,'UDI-10 bp indices'!B93,'UDI-10 bp indices'!C93)</f>
        <v>GTTCCATGAT-CAATGCGAAC</v>
      </c>
    </row>
    <row r="94" spans="1:15" x14ac:dyDescent="0.15">
      <c r="A94" s="73" t="s">
        <v>840</v>
      </c>
      <c r="B94" s="73" t="s">
        <v>828</v>
      </c>
      <c r="C94" s="73" t="s">
        <v>294</v>
      </c>
      <c r="D94" s="73" t="s">
        <v>841</v>
      </c>
      <c r="E94" s="73" t="s">
        <v>842</v>
      </c>
      <c r="F94" s="67" t="s">
        <v>843</v>
      </c>
      <c r="G94" s="67"/>
      <c r="H94" s="67"/>
      <c r="I94" s="67"/>
      <c r="J94" s="73"/>
      <c r="M94" s="73" t="s">
        <v>840</v>
      </c>
      <c r="N94" s="68" t="str">
        <f t="shared" si="6"/>
        <v>ACCAAGCA-TGCTTGCT</v>
      </c>
      <c r="O94" s="68" t="str">
        <f>_xlfn.TEXTJOIN("-",TRUE,'UDI-10 bp indices'!B94,'UDI-10 bp indices'!C94)</f>
        <v>ACCAAGCAAT-TGCTTGCTAC</v>
      </c>
    </row>
    <row r="95" spans="1:15" x14ac:dyDescent="0.15">
      <c r="A95" s="73" t="s">
        <v>844</v>
      </c>
      <c r="B95" s="73" t="s">
        <v>828</v>
      </c>
      <c r="C95" s="73" t="s">
        <v>295</v>
      </c>
      <c r="D95" s="73" t="s">
        <v>845</v>
      </c>
      <c r="E95" s="73" t="s">
        <v>846</v>
      </c>
      <c r="F95" s="67" t="s">
        <v>847</v>
      </c>
      <c r="G95" s="67"/>
      <c r="H95" s="67"/>
      <c r="I95" s="67"/>
      <c r="J95" s="73"/>
      <c r="M95" s="73" t="s">
        <v>844</v>
      </c>
      <c r="N95" s="68" t="str">
        <f t="shared" si="6"/>
        <v>CTCTCAGA-AATGGTCG</v>
      </c>
      <c r="O95" s="68" t="str">
        <f>_xlfn.TEXTJOIN("-",TRUE,'UDI-10 bp indices'!B95,'UDI-10 bp indices'!C95)</f>
        <v>CTCTCAGAAT-AATGGTCGAC</v>
      </c>
    </row>
    <row r="96" spans="1:15" x14ac:dyDescent="0.15">
      <c r="A96" s="73" t="s">
        <v>848</v>
      </c>
      <c r="B96" s="73" t="s">
        <v>828</v>
      </c>
      <c r="C96" s="73" t="s">
        <v>296</v>
      </c>
      <c r="D96" s="73" t="s">
        <v>849</v>
      </c>
      <c r="E96" s="73" t="s">
        <v>850</v>
      </c>
      <c r="F96" s="67" t="s">
        <v>851</v>
      </c>
      <c r="G96" s="67"/>
      <c r="H96" s="67"/>
      <c r="I96" s="67"/>
      <c r="J96" s="73"/>
      <c r="M96" s="73" t="s">
        <v>848</v>
      </c>
      <c r="N96" s="68" t="str">
        <f t="shared" si="6"/>
        <v>ACTCTGAG-AGTTGTGC</v>
      </c>
      <c r="O96" s="68" t="str">
        <f>_xlfn.TEXTJOIN("-",TRUE,'UDI-10 bp indices'!B96,'UDI-10 bp indices'!C96)</f>
        <v>ACTCTGAGAT-AGTTGTGCAC</v>
      </c>
    </row>
    <row r="97" spans="1:15" x14ac:dyDescent="0.15">
      <c r="A97" s="73" t="s">
        <v>852</v>
      </c>
      <c r="B97" s="73" t="s">
        <v>828</v>
      </c>
      <c r="C97" s="73" t="s">
        <v>297</v>
      </c>
      <c r="D97" s="73" t="s">
        <v>853</v>
      </c>
      <c r="E97" s="73" t="s">
        <v>854</v>
      </c>
      <c r="F97" s="67" t="s">
        <v>855</v>
      </c>
      <c r="G97" s="67"/>
      <c r="H97" s="67"/>
      <c r="I97" s="67"/>
      <c r="J97" s="73"/>
      <c r="M97" s="73" t="s">
        <v>852</v>
      </c>
      <c r="N97" s="68" t="str">
        <f t="shared" si="6"/>
        <v>GCTCAGTT-GTATCGAG</v>
      </c>
      <c r="O97" s="68" t="str">
        <f>_xlfn.TEXTJOIN("-",TRUE,'UDI-10 bp indices'!B97,'UDI-10 bp indices'!C97)</f>
        <v>GCTCAGTTAT-GTATCGAGAC</v>
      </c>
    </row>
    <row r="98" spans="1:15" x14ac:dyDescent="0.15">
      <c r="A98" s="73" t="s">
        <v>856</v>
      </c>
      <c r="B98" s="73" t="s">
        <v>828</v>
      </c>
      <c r="C98" s="73" t="s">
        <v>298</v>
      </c>
      <c r="D98" s="73" t="s">
        <v>857</v>
      </c>
      <c r="E98" s="73" t="s">
        <v>858</v>
      </c>
      <c r="F98" s="67" t="s">
        <v>859</v>
      </c>
      <c r="G98" s="67"/>
      <c r="H98" s="67"/>
      <c r="I98" s="67"/>
      <c r="J98" s="73"/>
      <c r="M98" s="73" t="s">
        <v>856</v>
      </c>
      <c r="N98" s="68" t="str">
        <f t="shared" si="6"/>
        <v>ATCTGACC-GTACGATC</v>
      </c>
      <c r="O98" s="68" t="str">
        <f>_xlfn.TEXTJOIN("-",TRUE,'UDI-10 bp indices'!B98,'UDI-10 bp indices'!C98)</f>
        <v>ATCTGACCAT-GTACGATCAC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8"/>
  <sheetViews>
    <sheetView workbookViewId="0">
      <selection activeCell="M8" sqref="M8"/>
    </sheetView>
  </sheetViews>
  <sheetFormatPr baseColWidth="10" defaultColWidth="8.83203125" defaultRowHeight="15" x14ac:dyDescent="0.2"/>
  <cols>
    <col min="1" max="1" width="15.33203125" customWidth="1"/>
    <col min="2" max="2" width="12.33203125" bestFit="1" customWidth="1"/>
    <col min="3" max="3" width="12.33203125" customWidth="1"/>
    <col min="4" max="4" width="12.5" bestFit="1" customWidth="1"/>
  </cols>
  <sheetData>
    <row r="1" spans="1:6" ht="16" thickBot="1" x14ac:dyDescent="0.25"/>
    <row r="2" spans="1:6" s="5" customFormat="1" ht="33" thickBot="1" x14ac:dyDescent="0.25">
      <c r="A2" s="2" t="s">
        <v>203</v>
      </c>
      <c r="B2" s="26" t="s">
        <v>0</v>
      </c>
      <c r="C2" s="3" t="s">
        <v>146</v>
      </c>
      <c r="D2" s="4" t="s">
        <v>1</v>
      </c>
      <c r="E2" s="6"/>
    </row>
    <row r="3" spans="1:6" ht="16" x14ac:dyDescent="0.2">
      <c r="A3" s="8" t="s">
        <v>204</v>
      </c>
      <c r="B3" s="9" t="s">
        <v>396</v>
      </c>
      <c r="C3" s="9" t="s">
        <v>492</v>
      </c>
      <c r="D3" s="10" t="s">
        <v>300</v>
      </c>
      <c r="E3" s="7"/>
      <c r="F3" s="1"/>
    </row>
    <row r="4" spans="1:6" ht="16" x14ac:dyDescent="0.2">
      <c r="A4" s="8" t="s">
        <v>205</v>
      </c>
      <c r="B4" s="9" t="s">
        <v>397</v>
      </c>
      <c r="C4" s="9" t="s">
        <v>493</v>
      </c>
      <c r="D4" s="10" t="s">
        <v>301</v>
      </c>
      <c r="E4" s="7"/>
      <c r="F4" s="1"/>
    </row>
    <row r="5" spans="1:6" ht="16" x14ac:dyDescent="0.2">
      <c r="A5" s="8" t="s">
        <v>206</v>
      </c>
      <c r="B5" s="9" t="s">
        <v>398</v>
      </c>
      <c r="C5" s="9" t="s">
        <v>494</v>
      </c>
      <c r="D5" s="10" t="s">
        <v>302</v>
      </c>
      <c r="E5" s="7"/>
      <c r="F5" s="1"/>
    </row>
    <row r="6" spans="1:6" ht="16" x14ac:dyDescent="0.2">
      <c r="A6" s="8" t="s">
        <v>207</v>
      </c>
      <c r="B6" s="9" t="s">
        <v>399</v>
      </c>
      <c r="C6" s="9" t="s">
        <v>495</v>
      </c>
      <c r="D6" s="10" t="s">
        <v>303</v>
      </c>
      <c r="E6" s="7"/>
      <c r="F6" s="1"/>
    </row>
    <row r="7" spans="1:6" ht="16" x14ac:dyDescent="0.2">
      <c r="A7" s="8" t="s">
        <v>208</v>
      </c>
      <c r="B7" s="9" t="s">
        <v>400</v>
      </c>
      <c r="C7" s="9" t="s">
        <v>496</v>
      </c>
      <c r="D7" s="10" t="s">
        <v>304</v>
      </c>
      <c r="E7" s="7"/>
      <c r="F7" s="1"/>
    </row>
    <row r="8" spans="1:6" ht="16" x14ac:dyDescent="0.2">
      <c r="A8" s="8" t="s">
        <v>209</v>
      </c>
      <c r="B8" s="9" t="s">
        <v>401</v>
      </c>
      <c r="C8" s="9" t="s">
        <v>497</v>
      </c>
      <c r="D8" s="10" t="s">
        <v>305</v>
      </c>
      <c r="E8" s="7"/>
      <c r="F8" s="1"/>
    </row>
    <row r="9" spans="1:6" ht="16" x14ac:dyDescent="0.2">
      <c r="A9" s="8" t="s">
        <v>210</v>
      </c>
      <c r="B9" s="9" t="s">
        <v>402</v>
      </c>
      <c r="C9" s="9" t="s">
        <v>498</v>
      </c>
      <c r="D9" s="10" t="s">
        <v>306</v>
      </c>
      <c r="E9" s="7"/>
      <c r="F9" s="1"/>
    </row>
    <row r="10" spans="1:6" ht="16" x14ac:dyDescent="0.2">
      <c r="A10" s="8" t="s">
        <v>211</v>
      </c>
      <c r="B10" s="9" t="s">
        <v>403</v>
      </c>
      <c r="C10" s="9" t="s">
        <v>499</v>
      </c>
      <c r="D10" s="10" t="s">
        <v>307</v>
      </c>
      <c r="E10" s="7"/>
      <c r="F10" s="1"/>
    </row>
    <row r="11" spans="1:6" ht="16" x14ac:dyDescent="0.2">
      <c r="A11" s="11" t="s">
        <v>212</v>
      </c>
      <c r="B11" s="12" t="s">
        <v>404</v>
      </c>
      <c r="C11" s="12" t="s">
        <v>500</v>
      </c>
      <c r="D11" s="13" t="s">
        <v>308</v>
      </c>
      <c r="E11" s="7"/>
      <c r="F11" s="1"/>
    </row>
    <row r="12" spans="1:6" ht="16" x14ac:dyDescent="0.2">
      <c r="A12" s="11" t="s">
        <v>213</v>
      </c>
      <c r="B12" s="12" t="s">
        <v>405</v>
      </c>
      <c r="C12" s="12" t="s">
        <v>501</v>
      </c>
      <c r="D12" s="13" t="s">
        <v>309</v>
      </c>
      <c r="E12" s="7"/>
      <c r="F12" s="1"/>
    </row>
    <row r="13" spans="1:6" ht="16" x14ac:dyDescent="0.2">
      <c r="A13" s="11" t="s">
        <v>214</v>
      </c>
      <c r="B13" s="12" t="s">
        <v>406</v>
      </c>
      <c r="C13" s="12" t="s">
        <v>502</v>
      </c>
      <c r="D13" s="13" t="s">
        <v>310</v>
      </c>
      <c r="E13" s="7"/>
      <c r="F13" s="1"/>
    </row>
    <row r="14" spans="1:6" ht="16" x14ac:dyDescent="0.2">
      <c r="A14" s="11" t="s">
        <v>215</v>
      </c>
      <c r="B14" s="12" t="s">
        <v>407</v>
      </c>
      <c r="C14" s="12" t="s">
        <v>503</v>
      </c>
      <c r="D14" s="13" t="s">
        <v>311</v>
      </c>
      <c r="E14" s="7"/>
      <c r="F14" s="1"/>
    </row>
    <row r="15" spans="1:6" ht="16" x14ac:dyDescent="0.2">
      <c r="A15" s="11" t="s">
        <v>216</v>
      </c>
      <c r="B15" s="12" t="s">
        <v>408</v>
      </c>
      <c r="C15" s="12" t="s">
        <v>504</v>
      </c>
      <c r="D15" s="13" t="s">
        <v>312</v>
      </c>
      <c r="E15" s="7"/>
      <c r="F15" s="1"/>
    </row>
    <row r="16" spans="1:6" ht="16" x14ac:dyDescent="0.2">
      <c r="A16" s="11" t="s">
        <v>217</v>
      </c>
      <c r="B16" s="12" t="s">
        <v>409</v>
      </c>
      <c r="C16" s="12" t="s">
        <v>505</v>
      </c>
      <c r="D16" s="13" t="s">
        <v>313</v>
      </c>
      <c r="E16" s="7"/>
      <c r="F16" s="1"/>
    </row>
    <row r="17" spans="1:6" ht="16" x14ac:dyDescent="0.2">
      <c r="A17" s="11" t="s">
        <v>218</v>
      </c>
      <c r="B17" s="12" t="s">
        <v>410</v>
      </c>
      <c r="C17" s="12" t="s">
        <v>506</v>
      </c>
      <c r="D17" s="13" t="s">
        <v>314</v>
      </c>
      <c r="E17" s="7"/>
      <c r="F17" s="1"/>
    </row>
    <row r="18" spans="1:6" ht="16" x14ac:dyDescent="0.2">
      <c r="A18" s="11" t="s">
        <v>219</v>
      </c>
      <c r="B18" s="12" t="s">
        <v>411</v>
      </c>
      <c r="C18" s="12" t="s">
        <v>507</v>
      </c>
      <c r="D18" s="13" t="s">
        <v>315</v>
      </c>
      <c r="E18" s="7"/>
      <c r="F18" s="1"/>
    </row>
    <row r="19" spans="1:6" ht="16" x14ac:dyDescent="0.2">
      <c r="A19" s="8" t="s">
        <v>220</v>
      </c>
      <c r="B19" s="9" t="s">
        <v>412</v>
      </c>
      <c r="C19" s="9" t="s">
        <v>508</v>
      </c>
      <c r="D19" s="10" t="s">
        <v>316</v>
      </c>
      <c r="E19" s="7"/>
      <c r="F19" s="1"/>
    </row>
    <row r="20" spans="1:6" ht="16" x14ac:dyDescent="0.2">
      <c r="A20" s="8" t="s">
        <v>221</v>
      </c>
      <c r="B20" s="9" t="s">
        <v>413</v>
      </c>
      <c r="C20" s="9" t="s">
        <v>509</v>
      </c>
      <c r="D20" s="10" t="s">
        <v>317</v>
      </c>
      <c r="E20" s="7"/>
      <c r="F20" s="1"/>
    </row>
    <row r="21" spans="1:6" ht="16" x14ac:dyDescent="0.2">
      <c r="A21" s="8" t="s">
        <v>222</v>
      </c>
      <c r="B21" s="9" t="s">
        <v>414</v>
      </c>
      <c r="C21" s="9" t="s">
        <v>510</v>
      </c>
      <c r="D21" s="10" t="s">
        <v>318</v>
      </c>
      <c r="E21" s="7"/>
      <c r="F21" s="1"/>
    </row>
    <row r="22" spans="1:6" ht="16" x14ac:dyDescent="0.2">
      <c r="A22" s="8" t="s">
        <v>223</v>
      </c>
      <c r="B22" s="9" t="s">
        <v>415</v>
      </c>
      <c r="C22" s="9" t="s">
        <v>511</v>
      </c>
      <c r="D22" s="10" t="s">
        <v>319</v>
      </c>
      <c r="E22" s="7"/>
      <c r="F22" s="1"/>
    </row>
    <row r="23" spans="1:6" ht="16" x14ac:dyDescent="0.2">
      <c r="A23" s="8" t="s">
        <v>224</v>
      </c>
      <c r="B23" s="9" t="s">
        <v>416</v>
      </c>
      <c r="C23" s="9" t="s">
        <v>512</v>
      </c>
      <c r="D23" s="10" t="s">
        <v>320</v>
      </c>
      <c r="E23" s="7"/>
      <c r="F23" s="1"/>
    </row>
    <row r="24" spans="1:6" ht="16" x14ac:dyDescent="0.2">
      <c r="A24" s="8" t="s">
        <v>225</v>
      </c>
      <c r="B24" s="9" t="s">
        <v>417</v>
      </c>
      <c r="C24" s="9" t="s">
        <v>513</v>
      </c>
      <c r="D24" s="10" t="s">
        <v>321</v>
      </c>
      <c r="E24" s="7"/>
      <c r="F24" s="1"/>
    </row>
    <row r="25" spans="1:6" ht="16" x14ac:dyDescent="0.2">
      <c r="A25" s="8" t="s">
        <v>226</v>
      </c>
      <c r="B25" s="9" t="s">
        <v>418</v>
      </c>
      <c r="C25" s="9" t="s">
        <v>514</v>
      </c>
      <c r="D25" s="10" t="s">
        <v>322</v>
      </c>
      <c r="E25" s="7"/>
      <c r="F25" s="1"/>
    </row>
    <row r="26" spans="1:6" ht="16" x14ac:dyDescent="0.2">
      <c r="A26" s="8" t="s">
        <v>227</v>
      </c>
      <c r="B26" s="9" t="s">
        <v>419</v>
      </c>
      <c r="C26" s="9" t="s">
        <v>515</v>
      </c>
      <c r="D26" s="10" t="s">
        <v>323</v>
      </c>
      <c r="E26" s="7"/>
      <c r="F26" s="1"/>
    </row>
    <row r="27" spans="1:6" ht="16" x14ac:dyDescent="0.2">
      <c r="A27" s="11" t="s">
        <v>228</v>
      </c>
      <c r="B27" s="12" t="s">
        <v>420</v>
      </c>
      <c r="C27" s="12" t="s">
        <v>516</v>
      </c>
      <c r="D27" s="13" t="s">
        <v>324</v>
      </c>
      <c r="E27" s="7"/>
      <c r="F27" s="1"/>
    </row>
    <row r="28" spans="1:6" ht="16" x14ac:dyDescent="0.2">
      <c r="A28" s="11" t="s">
        <v>229</v>
      </c>
      <c r="B28" s="12" t="s">
        <v>421</v>
      </c>
      <c r="C28" s="12" t="s">
        <v>517</v>
      </c>
      <c r="D28" s="13" t="s">
        <v>325</v>
      </c>
      <c r="E28" s="7"/>
      <c r="F28" s="1"/>
    </row>
    <row r="29" spans="1:6" ht="16" x14ac:dyDescent="0.2">
      <c r="A29" s="11" t="s">
        <v>230</v>
      </c>
      <c r="B29" s="12" t="s">
        <v>422</v>
      </c>
      <c r="C29" s="12" t="s">
        <v>518</v>
      </c>
      <c r="D29" s="13" t="s">
        <v>326</v>
      </c>
      <c r="E29" s="7"/>
      <c r="F29" s="1"/>
    </row>
    <row r="30" spans="1:6" ht="16" x14ac:dyDescent="0.2">
      <c r="A30" s="11" t="s">
        <v>231</v>
      </c>
      <c r="B30" s="12" t="s">
        <v>423</v>
      </c>
      <c r="C30" s="12" t="s">
        <v>519</v>
      </c>
      <c r="D30" s="13" t="s">
        <v>327</v>
      </c>
      <c r="E30" s="7"/>
      <c r="F30" s="1"/>
    </row>
    <row r="31" spans="1:6" ht="16" x14ac:dyDescent="0.2">
      <c r="A31" s="11" t="s">
        <v>232</v>
      </c>
      <c r="B31" s="12" t="s">
        <v>424</v>
      </c>
      <c r="C31" s="12" t="s">
        <v>520</v>
      </c>
      <c r="D31" s="13" t="s">
        <v>328</v>
      </c>
      <c r="E31" s="7"/>
      <c r="F31" s="1"/>
    </row>
    <row r="32" spans="1:6" ht="16" x14ac:dyDescent="0.2">
      <c r="A32" s="11" t="s">
        <v>233</v>
      </c>
      <c r="B32" s="12" t="s">
        <v>425</v>
      </c>
      <c r="C32" s="12" t="s">
        <v>521</v>
      </c>
      <c r="D32" s="13" t="s">
        <v>329</v>
      </c>
      <c r="E32" s="7"/>
      <c r="F32" s="1"/>
    </row>
    <row r="33" spans="1:6" ht="16" x14ac:dyDescent="0.2">
      <c r="A33" s="11" t="s">
        <v>234</v>
      </c>
      <c r="B33" s="12" t="s">
        <v>426</v>
      </c>
      <c r="C33" s="12" t="s">
        <v>522</v>
      </c>
      <c r="D33" s="13" t="s">
        <v>330</v>
      </c>
      <c r="E33" s="7"/>
      <c r="F33" s="1"/>
    </row>
    <row r="34" spans="1:6" ht="16" x14ac:dyDescent="0.2">
      <c r="A34" s="11" t="s">
        <v>235</v>
      </c>
      <c r="B34" s="12" t="s">
        <v>427</v>
      </c>
      <c r="C34" s="12" t="s">
        <v>523</v>
      </c>
      <c r="D34" s="13" t="s">
        <v>331</v>
      </c>
      <c r="E34" s="7"/>
      <c r="F34" s="1"/>
    </row>
    <row r="35" spans="1:6" ht="16" x14ac:dyDescent="0.2">
      <c r="A35" s="14" t="s">
        <v>236</v>
      </c>
      <c r="B35" s="15" t="s">
        <v>428</v>
      </c>
      <c r="C35" s="15" t="s">
        <v>524</v>
      </c>
      <c r="D35" s="16" t="s">
        <v>332</v>
      </c>
      <c r="E35" s="7"/>
      <c r="F35" s="1"/>
    </row>
    <row r="36" spans="1:6" ht="16" x14ac:dyDescent="0.2">
      <c r="A36" s="14" t="s">
        <v>237</v>
      </c>
      <c r="B36" s="15" t="s">
        <v>429</v>
      </c>
      <c r="C36" s="15" t="s">
        <v>525</v>
      </c>
      <c r="D36" s="16" t="s">
        <v>333</v>
      </c>
      <c r="E36" s="7"/>
      <c r="F36" s="1"/>
    </row>
    <row r="37" spans="1:6" ht="16" x14ac:dyDescent="0.2">
      <c r="A37" s="14" t="s">
        <v>238</v>
      </c>
      <c r="B37" s="15" t="s">
        <v>430</v>
      </c>
      <c r="C37" s="15" t="s">
        <v>526</v>
      </c>
      <c r="D37" s="16" t="s">
        <v>334</v>
      </c>
      <c r="E37" s="7"/>
      <c r="F37" s="1"/>
    </row>
    <row r="38" spans="1:6" ht="16" x14ac:dyDescent="0.2">
      <c r="A38" s="14" t="s">
        <v>239</v>
      </c>
      <c r="B38" s="15" t="s">
        <v>431</v>
      </c>
      <c r="C38" s="15" t="s">
        <v>527</v>
      </c>
      <c r="D38" s="16" t="s">
        <v>335</v>
      </c>
      <c r="E38" s="7"/>
      <c r="F38" s="1"/>
    </row>
    <row r="39" spans="1:6" ht="16" x14ac:dyDescent="0.2">
      <c r="A39" s="14" t="s">
        <v>240</v>
      </c>
      <c r="B39" s="15" t="s">
        <v>432</v>
      </c>
      <c r="C39" s="15" t="s">
        <v>528</v>
      </c>
      <c r="D39" s="16" t="s">
        <v>336</v>
      </c>
      <c r="E39" s="7"/>
      <c r="F39" s="1"/>
    </row>
    <row r="40" spans="1:6" ht="16" x14ac:dyDescent="0.2">
      <c r="A40" s="14" t="s">
        <v>241</v>
      </c>
      <c r="B40" s="15" t="s">
        <v>433</v>
      </c>
      <c r="C40" s="15" t="s">
        <v>529</v>
      </c>
      <c r="D40" s="16" t="s">
        <v>337</v>
      </c>
      <c r="E40" s="7"/>
      <c r="F40" s="1"/>
    </row>
    <row r="41" spans="1:6" ht="16" x14ac:dyDescent="0.2">
      <c r="A41" s="14" t="s">
        <v>242</v>
      </c>
      <c r="B41" s="15" t="s">
        <v>434</v>
      </c>
      <c r="C41" s="15" t="s">
        <v>530</v>
      </c>
      <c r="D41" s="16" t="s">
        <v>338</v>
      </c>
      <c r="E41" s="7"/>
      <c r="F41" s="1"/>
    </row>
    <row r="42" spans="1:6" ht="16" x14ac:dyDescent="0.2">
      <c r="A42" s="14" t="s">
        <v>243</v>
      </c>
      <c r="B42" s="15" t="s">
        <v>435</v>
      </c>
      <c r="C42" s="15" t="s">
        <v>531</v>
      </c>
      <c r="D42" s="16" t="s">
        <v>339</v>
      </c>
      <c r="E42" s="7"/>
      <c r="F42" s="1"/>
    </row>
    <row r="43" spans="1:6" ht="16" x14ac:dyDescent="0.2">
      <c r="A43" s="17" t="s">
        <v>244</v>
      </c>
      <c r="B43" s="18" t="s">
        <v>436</v>
      </c>
      <c r="C43" s="18" t="s">
        <v>532</v>
      </c>
      <c r="D43" s="19" t="s">
        <v>340</v>
      </c>
      <c r="E43" s="7"/>
      <c r="F43" s="1"/>
    </row>
    <row r="44" spans="1:6" ht="16" x14ac:dyDescent="0.2">
      <c r="A44" s="17" t="s">
        <v>245</v>
      </c>
      <c r="B44" s="18" t="s">
        <v>437</v>
      </c>
      <c r="C44" s="18" t="s">
        <v>533</v>
      </c>
      <c r="D44" s="19" t="s">
        <v>341</v>
      </c>
      <c r="E44" s="7"/>
      <c r="F44" s="1"/>
    </row>
    <row r="45" spans="1:6" ht="16" x14ac:dyDescent="0.2">
      <c r="A45" s="17" t="s">
        <v>246</v>
      </c>
      <c r="B45" s="18" t="s">
        <v>438</v>
      </c>
      <c r="C45" s="18" t="s">
        <v>534</v>
      </c>
      <c r="D45" s="19" t="s">
        <v>342</v>
      </c>
      <c r="E45" s="7"/>
      <c r="F45" s="1"/>
    </row>
    <row r="46" spans="1:6" ht="16" x14ac:dyDescent="0.2">
      <c r="A46" s="17" t="s">
        <v>247</v>
      </c>
      <c r="B46" s="18" t="s">
        <v>439</v>
      </c>
      <c r="C46" s="18" t="s">
        <v>535</v>
      </c>
      <c r="D46" s="19" t="s">
        <v>343</v>
      </c>
      <c r="E46" s="7"/>
      <c r="F46" s="1"/>
    </row>
    <row r="47" spans="1:6" ht="16" x14ac:dyDescent="0.2">
      <c r="A47" s="17" t="s">
        <v>248</v>
      </c>
      <c r="B47" s="18" t="s">
        <v>440</v>
      </c>
      <c r="C47" s="18" t="s">
        <v>536</v>
      </c>
      <c r="D47" s="19" t="s">
        <v>344</v>
      </c>
      <c r="E47" s="7"/>
      <c r="F47" s="1"/>
    </row>
    <row r="48" spans="1:6" ht="16" x14ac:dyDescent="0.2">
      <c r="A48" s="17" t="s">
        <v>249</v>
      </c>
      <c r="B48" s="18" t="s">
        <v>441</v>
      </c>
      <c r="C48" s="18" t="s">
        <v>537</v>
      </c>
      <c r="D48" s="19" t="s">
        <v>345</v>
      </c>
      <c r="E48" s="7"/>
      <c r="F48" s="1"/>
    </row>
    <row r="49" spans="1:6" ht="16" x14ac:dyDescent="0.2">
      <c r="A49" s="17" t="s">
        <v>250</v>
      </c>
      <c r="B49" s="18" t="s">
        <v>442</v>
      </c>
      <c r="C49" s="18" t="s">
        <v>538</v>
      </c>
      <c r="D49" s="19" t="s">
        <v>346</v>
      </c>
      <c r="E49" s="7"/>
      <c r="F49" s="1"/>
    </row>
    <row r="50" spans="1:6" ht="16" x14ac:dyDescent="0.2">
      <c r="A50" s="17" t="s">
        <v>251</v>
      </c>
      <c r="B50" s="18" t="s">
        <v>443</v>
      </c>
      <c r="C50" s="18" t="s">
        <v>539</v>
      </c>
      <c r="D50" s="19" t="s">
        <v>347</v>
      </c>
      <c r="E50" s="7"/>
      <c r="F50" s="1"/>
    </row>
    <row r="51" spans="1:6" ht="16" x14ac:dyDescent="0.2">
      <c r="A51" s="14" t="s">
        <v>252</v>
      </c>
      <c r="B51" s="15" t="s">
        <v>444</v>
      </c>
      <c r="C51" s="15" t="s">
        <v>540</v>
      </c>
      <c r="D51" s="16" t="s">
        <v>348</v>
      </c>
      <c r="E51" s="7"/>
      <c r="F51" s="1"/>
    </row>
    <row r="52" spans="1:6" ht="16" x14ac:dyDescent="0.2">
      <c r="A52" s="14" t="s">
        <v>253</v>
      </c>
      <c r="B52" s="15" t="s">
        <v>445</v>
      </c>
      <c r="C52" s="15" t="s">
        <v>541</v>
      </c>
      <c r="D52" s="16" t="s">
        <v>349</v>
      </c>
      <c r="E52" s="7"/>
      <c r="F52" s="1"/>
    </row>
    <row r="53" spans="1:6" ht="16" x14ac:dyDescent="0.2">
      <c r="A53" s="14" t="s">
        <v>254</v>
      </c>
      <c r="B53" s="15" t="s">
        <v>446</v>
      </c>
      <c r="C53" s="15" t="s">
        <v>542</v>
      </c>
      <c r="D53" s="16" t="s">
        <v>350</v>
      </c>
      <c r="E53" s="7"/>
      <c r="F53" s="1"/>
    </row>
    <row r="54" spans="1:6" ht="16" x14ac:dyDescent="0.2">
      <c r="A54" s="14" t="s">
        <v>255</v>
      </c>
      <c r="B54" s="15" t="s">
        <v>447</v>
      </c>
      <c r="C54" s="15" t="s">
        <v>543</v>
      </c>
      <c r="D54" s="16" t="s">
        <v>351</v>
      </c>
      <c r="E54" s="7"/>
      <c r="F54" s="1"/>
    </row>
    <row r="55" spans="1:6" ht="16" x14ac:dyDescent="0.2">
      <c r="A55" s="14" t="s">
        <v>256</v>
      </c>
      <c r="B55" s="15" t="s">
        <v>448</v>
      </c>
      <c r="C55" s="15" t="s">
        <v>544</v>
      </c>
      <c r="D55" s="16" t="s">
        <v>352</v>
      </c>
      <c r="E55" s="7"/>
      <c r="F55" s="1"/>
    </row>
    <row r="56" spans="1:6" ht="16" x14ac:dyDescent="0.2">
      <c r="A56" s="14" t="s">
        <v>257</v>
      </c>
      <c r="B56" s="15" t="s">
        <v>449</v>
      </c>
      <c r="C56" s="15" t="s">
        <v>545</v>
      </c>
      <c r="D56" s="16" t="s">
        <v>353</v>
      </c>
      <c r="E56" s="7"/>
      <c r="F56" s="1"/>
    </row>
    <row r="57" spans="1:6" ht="16" x14ac:dyDescent="0.2">
      <c r="A57" s="14" t="s">
        <v>258</v>
      </c>
      <c r="B57" s="15" t="s">
        <v>450</v>
      </c>
      <c r="C57" s="15" t="s">
        <v>546</v>
      </c>
      <c r="D57" s="16" t="s">
        <v>354</v>
      </c>
      <c r="E57" s="7"/>
      <c r="F57" s="1"/>
    </row>
    <row r="58" spans="1:6" ht="16" x14ac:dyDescent="0.2">
      <c r="A58" s="14" t="s">
        <v>259</v>
      </c>
      <c r="B58" s="15" t="s">
        <v>451</v>
      </c>
      <c r="C58" s="15" t="s">
        <v>547</v>
      </c>
      <c r="D58" s="16" t="s">
        <v>355</v>
      </c>
      <c r="E58" s="7"/>
      <c r="F58" s="1"/>
    </row>
    <row r="59" spans="1:6" ht="16" x14ac:dyDescent="0.2">
      <c r="A59" s="17" t="s">
        <v>260</v>
      </c>
      <c r="B59" s="18" t="s">
        <v>452</v>
      </c>
      <c r="C59" s="18" t="s">
        <v>548</v>
      </c>
      <c r="D59" s="19" t="s">
        <v>356</v>
      </c>
      <c r="E59" s="7"/>
      <c r="F59" s="1"/>
    </row>
    <row r="60" spans="1:6" ht="16" x14ac:dyDescent="0.2">
      <c r="A60" s="17" t="s">
        <v>261</v>
      </c>
      <c r="B60" s="18" t="s">
        <v>453</v>
      </c>
      <c r="C60" s="18" t="s">
        <v>549</v>
      </c>
      <c r="D60" s="19" t="s">
        <v>357</v>
      </c>
      <c r="E60" s="7"/>
      <c r="F60" s="1"/>
    </row>
    <row r="61" spans="1:6" ht="16" x14ac:dyDescent="0.2">
      <c r="A61" s="17" t="s">
        <v>262</v>
      </c>
      <c r="B61" s="18" t="s">
        <v>454</v>
      </c>
      <c r="C61" s="18" t="s">
        <v>550</v>
      </c>
      <c r="D61" s="19" t="s">
        <v>358</v>
      </c>
      <c r="E61" s="7"/>
      <c r="F61" s="1"/>
    </row>
    <row r="62" spans="1:6" ht="16" x14ac:dyDescent="0.2">
      <c r="A62" s="17" t="s">
        <v>263</v>
      </c>
      <c r="B62" s="18" t="s">
        <v>455</v>
      </c>
      <c r="C62" s="18" t="s">
        <v>551</v>
      </c>
      <c r="D62" s="19" t="s">
        <v>359</v>
      </c>
      <c r="E62" s="7"/>
      <c r="F62" s="1"/>
    </row>
    <row r="63" spans="1:6" ht="16" x14ac:dyDescent="0.2">
      <c r="A63" s="17" t="s">
        <v>264</v>
      </c>
      <c r="B63" s="18" t="s">
        <v>456</v>
      </c>
      <c r="C63" s="18" t="s">
        <v>552</v>
      </c>
      <c r="D63" s="19" t="s">
        <v>360</v>
      </c>
      <c r="E63" s="7"/>
      <c r="F63" s="1"/>
    </row>
    <row r="64" spans="1:6" ht="16" x14ac:dyDescent="0.2">
      <c r="A64" s="17" t="s">
        <v>265</v>
      </c>
      <c r="B64" s="18" t="s">
        <v>457</v>
      </c>
      <c r="C64" s="18" t="s">
        <v>553</v>
      </c>
      <c r="D64" s="19" t="s">
        <v>361</v>
      </c>
      <c r="E64" s="7"/>
      <c r="F64" s="1"/>
    </row>
    <row r="65" spans="1:6" ht="16" x14ac:dyDescent="0.2">
      <c r="A65" s="17" t="s">
        <v>266</v>
      </c>
      <c r="B65" s="18" t="s">
        <v>458</v>
      </c>
      <c r="C65" s="18" t="s">
        <v>554</v>
      </c>
      <c r="D65" s="19" t="s">
        <v>362</v>
      </c>
      <c r="E65" s="7"/>
      <c r="F65" s="1"/>
    </row>
    <row r="66" spans="1:6" ht="16" x14ac:dyDescent="0.2">
      <c r="A66" s="17" t="s">
        <v>267</v>
      </c>
      <c r="B66" s="18" t="s">
        <v>459</v>
      </c>
      <c r="C66" s="18" t="s">
        <v>555</v>
      </c>
      <c r="D66" s="19" t="s">
        <v>363</v>
      </c>
      <c r="E66" s="7"/>
      <c r="F66" s="1"/>
    </row>
    <row r="67" spans="1:6" ht="16" x14ac:dyDescent="0.2">
      <c r="A67" s="20" t="s">
        <v>268</v>
      </c>
      <c r="B67" s="21" t="s">
        <v>460</v>
      </c>
      <c r="C67" s="21" t="s">
        <v>556</v>
      </c>
      <c r="D67" s="22" t="s">
        <v>364</v>
      </c>
      <c r="E67" s="7"/>
      <c r="F67" s="1"/>
    </row>
    <row r="68" spans="1:6" ht="16" x14ac:dyDescent="0.2">
      <c r="A68" s="20" t="s">
        <v>269</v>
      </c>
      <c r="B68" s="21" t="s">
        <v>461</v>
      </c>
      <c r="C68" s="21" t="s">
        <v>557</v>
      </c>
      <c r="D68" s="22" t="s">
        <v>365</v>
      </c>
      <c r="E68" s="7"/>
      <c r="F68" s="1"/>
    </row>
    <row r="69" spans="1:6" ht="16" x14ac:dyDescent="0.2">
      <c r="A69" s="20" t="s">
        <v>270</v>
      </c>
      <c r="B69" s="21" t="s">
        <v>462</v>
      </c>
      <c r="C69" s="21" t="s">
        <v>558</v>
      </c>
      <c r="D69" s="22" t="s">
        <v>366</v>
      </c>
      <c r="E69" s="7"/>
      <c r="F69" s="1"/>
    </row>
    <row r="70" spans="1:6" ht="16" x14ac:dyDescent="0.2">
      <c r="A70" s="20" t="s">
        <v>271</v>
      </c>
      <c r="B70" s="21" t="s">
        <v>463</v>
      </c>
      <c r="C70" s="21" t="s">
        <v>559</v>
      </c>
      <c r="D70" s="22" t="s">
        <v>367</v>
      </c>
      <c r="E70" s="7"/>
      <c r="F70" s="1"/>
    </row>
    <row r="71" spans="1:6" ht="16" x14ac:dyDescent="0.2">
      <c r="A71" s="20" t="s">
        <v>272</v>
      </c>
      <c r="B71" s="21" t="s">
        <v>464</v>
      </c>
      <c r="C71" s="21" t="s">
        <v>560</v>
      </c>
      <c r="D71" s="22" t="s">
        <v>368</v>
      </c>
      <c r="E71" s="7"/>
      <c r="F71" s="1"/>
    </row>
    <row r="72" spans="1:6" ht="16" x14ac:dyDescent="0.2">
      <c r="A72" s="20" t="s">
        <v>273</v>
      </c>
      <c r="B72" s="21" t="s">
        <v>465</v>
      </c>
      <c r="C72" s="21" t="s">
        <v>561</v>
      </c>
      <c r="D72" s="22" t="s">
        <v>369</v>
      </c>
      <c r="E72" s="7"/>
      <c r="F72" s="1"/>
    </row>
    <row r="73" spans="1:6" ht="16" x14ac:dyDescent="0.2">
      <c r="A73" s="20" t="s">
        <v>274</v>
      </c>
      <c r="B73" s="21" t="s">
        <v>466</v>
      </c>
      <c r="C73" s="21" t="s">
        <v>562</v>
      </c>
      <c r="D73" s="22" t="s">
        <v>370</v>
      </c>
      <c r="E73" s="7"/>
      <c r="F73" s="1"/>
    </row>
    <row r="74" spans="1:6" ht="16" x14ac:dyDescent="0.2">
      <c r="A74" s="20" t="s">
        <v>299</v>
      </c>
      <c r="B74" s="21" t="s">
        <v>467</v>
      </c>
      <c r="C74" s="21" t="s">
        <v>563</v>
      </c>
      <c r="D74" s="22" t="s">
        <v>371</v>
      </c>
      <c r="E74" s="7"/>
      <c r="F74" s="1"/>
    </row>
    <row r="75" spans="1:6" ht="16" x14ac:dyDescent="0.2">
      <c r="A75" s="23" t="s">
        <v>275</v>
      </c>
      <c r="B75" s="24" t="s">
        <v>468</v>
      </c>
      <c r="C75" s="24" t="s">
        <v>564</v>
      </c>
      <c r="D75" s="25" t="s">
        <v>372</v>
      </c>
      <c r="E75" s="7"/>
      <c r="F75" s="1"/>
    </row>
    <row r="76" spans="1:6" ht="16" x14ac:dyDescent="0.2">
      <c r="A76" s="23" t="s">
        <v>276</v>
      </c>
      <c r="B76" s="24" t="s">
        <v>469</v>
      </c>
      <c r="C76" s="24" t="s">
        <v>565</v>
      </c>
      <c r="D76" s="25" t="s">
        <v>373</v>
      </c>
      <c r="E76" s="7"/>
      <c r="F76" s="1"/>
    </row>
    <row r="77" spans="1:6" ht="16" x14ac:dyDescent="0.2">
      <c r="A77" s="23" t="s">
        <v>277</v>
      </c>
      <c r="B77" s="24" t="s">
        <v>470</v>
      </c>
      <c r="C77" s="24" t="s">
        <v>566</v>
      </c>
      <c r="D77" s="25" t="s">
        <v>374</v>
      </c>
      <c r="E77" s="7"/>
      <c r="F77" s="1"/>
    </row>
    <row r="78" spans="1:6" ht="16" x14ac:dyDescent="0.2">
      <c r="A78" s="23" t="s">
        <v>278</v>
      </c>
      <c r="B78" s="24" t="s">
        <v>471</v>
      </c>
      <c r="C78" s="24" t="s">
        <v>567</v>
      </c>
      <c r="D78" s="25" t="s">
        <v>375</v>
      </c>
      <c r="E78" s="7"/>
      <c r="F78" s="1"/>
    </row>
    <row r="79" spans="1:6" ht="16" x14ac:dyDescent="0.2">
      <c r="A79" s="23" t="s">
        <v>279</v>
      </c>
      <c r="B79" s="24" t="s">
        <v>472</v>
      </c>
      <c r="C79" s="24" t="s">
        <v>568</v>
      </c>
      <c r="D79" s="25" t="s">
        <v>376</v>
      </c>
      <c r="E79" s="7"/>
      <c r="F79" s="1"/>
    </row>
    <row r="80" spans="1:6" ht="16" x14ac:dyDescent="0.2">
      <c r="A80" s="23" t="s">
        <v>280</v>
      </c>
      <c r="B80" s="24" t="s">
        <v>473</v>
      </c>
      <c r="C80" s="24" t="s">
        <v>569</v>
      </c>
      <c r="D80" s="25" t="s">
        <v>377</v>
      </c>
      <c r="E80" s="7"/>
      <c r="F80" s="1"/>
    </row>
    <row r="81" spans="1:6" ht="16" x14ac:dyDescent="0.2">
      <c r="A81" s="23" t="s">
        <v>281</v>
      </c>
      <c r="B81" s="24" t="s">
        <v>474</v>
      </c>
      <c r="C81" s="24" t="s">
        <v>570</v>
      </c>
      <c r="D81" s="25" t="s">
        <v>378</v>
      </c>
      <c r="E81" s="7"/>
      <c r="F81" s="1"/>
    </row>
    <row r="82" spans="1:6" ht="16" x14ac:dyDescent="0.2">
      <c r="A82" s="23" t="s">
        <v>282</v>
      </c>
      <c r="B82" s="24" t="s">
        <v>475</v>
      </c>
      <c r="C82" s="24" t="s">
        <v>571</v>
      </c>
      <c r="D82" s="25" t="s">
        <v>379</v>
      </c>
      <c r="E82" s="7"/>
      <c r="F82" s="1"/>
    </row>
    <row r="83" spans="1:6" ht="16" x14ac:dyDescent="0.2">
      <c r="A83" s="20" t="s">
        <v>283</v>
      </c>
      <c r="B83" s="21" t="s">
        <v>476</v>
      </c>
      <c r="C83" s="21" t="s">
        <v>572</v>
      </c>
      <c r="D83" s="22" t="s">
        <v>380</v>
      </c>
      <c r="E83" s="7"/>
      <c r="F83" s="1"/>
    </row>
    <row r="84" spans="1:6" ht="16" x14ac:dyDescent="0.2">
      <c r="A84" s="20" t="s">
        <v>284</v>
      </c>
      <c r="B84" s="21" t="s">
        <v>477</v>
      </c>
      <c r="C84" s="21" t="s">
        <v>573</v>
      </c>
      <c r="D84" s="22" t="s">
        <v>381</v>
      </c>
      <c r="E84" s="7"/>
      <c r="F84" s="1"/>
    </row>
    <row r="85" spans="1:6" ht="16" x14ac:dyDescent="0.2">
      <c r="A85" s="20" t="s">
        <v>285</v>
      </c>
      <c r="B85" s="21" t="s">
        <v>478</v>
      </c>
      <c r="C85" s="21" t="s">
        <v>574</v>
      </c>
      <c r="D85" s="22" t="s">
        <v>382</v>
      </c>
      <c r="E85" s="7"/>
      <c r="F85" s="1"/>
    </row>
    <row r="86" spans="1:6" ht="16" x14ac:dyDescent="0.2">
      <c r="A86" s="20" t="s">
        <v>286</v>
      </c>
      <c r="B86" s="21" t="s">
        <v>479</v>
      </c>
      <c r="C86" s="21" t="s">
        <v>575</v>
      </c>
      <c r="D86" s="22" t="s">
        <v>383</v>
      </c>
      <c r="E86" s="7"/>
      <c r="F86" s="1"/>
    </row>
    <row r="87" spans="1:6" ht="16" x14ac:dyDescent="0.2">
      <c r="A87" s="20" t="s">
        <v>287</v>
      </c>
      <c r="B87" s="21" t="s">
        <v>480</v>
      </c>
      <c r="C87" s="21" t="s">
        <v>576</v>
      </c>
      <c r="D87" s="22" t="s">
        <v>384</v>
      </c>
      <c r="E87" s="7"/>
      <c r="F87" s="1"/>
    </row>
    <row r="88" spans="1:6" ht="16" x14ac:dyDescent="0.2">
      <c r="A88" s="20" t="s">
        <v>288</v>
      </c>
      <c r="B88" s="21" t="s">
        <v>481</v>
      </c>
      <c r="C88" s="21" t="s">
        <v>577</v>
      </c>
      <c r="D88" s="22" t="s">
        <v>385</v>
      </c>
      <c r="E88" s="7"/>
      <c r="F88" s="1"/>
    </row>
    <row r="89" spans="1:6" ht="16" x14ac:dyDescent="0.2">
      <c r="A89" s="20" t="s">
        <v>289</v>
      </c>
      <c r="B89" s="21" t="s">
        <v>482</v>
      </c>
      <c r="C89" s="21" t="s">
        <v>578</v>
      </c>
      <c r="D89" s="22" t="s">
        <v>386</v>
      </c>
      <c r="E89" s="7"/>
      <c r="F89" s="1"/>
    </row>
    <row r="90" spans="1:6" ht="16" x14ac:dyDescent="0.2">
      <c r="A90" s="20" t="s">
        <v>290</v>
      </c>
      <c r="B90" s="21" t="s">
        <v>483</v>
      </c>
      <c r="C90" s="21" t="s">
        <v>579</v>
      </c>
      <c r="D90" s="22" t="s">
        <v>387</v>
      </c>
      <c r="E90" s="7"/>
      <c r="F90" s="1"/>
    </row>
    <row r="91" spans="1:6" ht="16" x14ac:dyDescent="0.2">
      <c r="A91" s="23" t="s">
        <v>291</v>
      </c>
      <c r="B91" s="24" t="s">
        <v>484</v>
      </c>
      <c r="C91" s="24" t="s">
        <v>580</v>
      </c>
      <c r="D91" s="25" t="s">
        <v>388</v>
      </c>
      <c r="E91" s="7"/>
      <c r="F91" s="1"/>
    </row>
    <row r="92" spans="1:6" ht="16" x14ac:dyDescent="0.2">
      <c r="A92" s="23" t="s">
        <v>292</v>
      </c>
      <c r="B92" s="24" t="s">
        <v>485</v>
      </c>
      <c r="C92" s="24" t="s">
        <v>581</v>
      </c>
      <c r="D92" s="25" t="s">
        <v>389</v>
      </c>
      <c r="E92" s="7"/>
      <c r="F92" s="1"/>
    </row>
    <row r="93" spans="1:6" ht="16" x14ac:dyDescent="0.2">
      <c r="A93" s="23" t="s">
        <v>293</v>
      </c>
      <c r="B93" s="24" t="s">
        <v>486</v>
      </c>
      <c r="C93" s="24" t="s">
        <v>582</v>
      </c>
      <c r="D93" s="25" t="s">
        <v>390</v>
      </c>
      <c r="E93" s="7"/>
      <c r="F93" s="1"/>
    </row>
    <row r="94" spans="1:6" ht="16" x14ac:dyDescent="0.2">
      <c r="A94" s="23" t="s">
        <v>294</v>
      </c>
      <c r="B94" s="24" t="s">
        <v>487</v>
      </c>
      <c r="C94" s="24" t="s">
        <v>583</v>
      </c>
      <c r="D94" s="25" t="s">
        <v>391</v>
      </c>
      <c r="E94" s="7"/>
      <c r="F94" s="1"/>
    </row>
    <row r="95" spans="1:6" ht="16" x14ac:dyDescent="0.2">
      <c r="A95" s="23" t="s">
        <v>295</v>
      </c>
      <c r="B95" s="24" t="s">
        <v>488</v>
      </c>
      <c r="C95" s="24" t="s">
        <v>584</v>
      </c>
      <c r="D95" s="25" t="s">
        <v>392</v>
      </c>
      <c r="E95" s="7"/>
      <c r="F95" s="1"/>
    </row>
    <row r="96" spans="1:6" ht="16" x14ac:dyDescent="0.2">
      <c r="A96" s="23" t="s">
        <v>296</v>
      </c>
      <c r="B96" s="24" t="s">
        <v>489</v>
      </c>
      <c r="C96" s="24" t="s">
        <v>585</v>
      </c>
      <c r="D96" s="25" t="s">
        <v>393</v>
      </c>
      <c r="E96" s="7"/>
      <c r="F96" s="1"/>
    </row>
    <row r="97" spans="1:6" ht="16" x14ac:dyDescent="0.2">
      <c r="A97" s="23" t="s">
        <v>297</v>
      </c>
      <c r="B97" s="24" t="s">
        <v>490</v>
      </c>
      <c r="C97" s="24" t="s">
        <v>586</v>
      </c>
      <c r="D97" s="25" t="s">
        <v>394</v>
      </c>
      <c r="E97" s="7"/>
      <c r="F97" s="1"/>
    </row>
    <row r="98" spans="1:6" ht="16" x14ac:dyDescent="0.2">
      <c r="A98" s="23" t="s">
        <v>298</v>
      </c>
      <c r="B98" s="24" t="s">
        <v>491</v>
      </c>
      <c r="C98" s="24" t="s">
        <v>587</v>
      </c>
      <c r="D98" s="25" t="s">
        <v>395</v>
      </c>
      <c r="E98" s="7"/>
      <c r="F9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Samples</vt:lpstr>
      <vt:lpstr>Pool</vt:lpstr>
      <vt:lpstr>UDI-8 bp indices</vt:lpstr>
      <vt:lpstr>UDI-10 bp 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San-Bento, T-GN</dc:creator>
  <cp:lastModifiedBy>George Westmeijer</cp:lastModifiedBy>
  <cp:lastPrinted>2022-12-08T10:32:25Z</cp:lastPrinted>
  <dcterms:created xsi:type="dcterms:W3CDTF">2022-06-03T12:43:59Z</dcterms:created>
  <dcterms:modified xsi:type="dcterms:W3CDTF">2024-05-21T06:59:26Z</dcterms:modified>
</cp:coreProperties>
</file>